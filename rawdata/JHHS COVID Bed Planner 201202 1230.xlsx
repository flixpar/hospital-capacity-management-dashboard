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9.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0.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2.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4.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5.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6.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7.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8.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9.xml" ContentType="application/vnd.openxmlformats-officedocument.themeOverrid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20.xml" ContentType="application/vnd.openxmlformats-officedocument.themeOverrid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21.xml" ContentType="application/vnd.openxmlformats-officedocument.themeOverrid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22.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23.xml" ContentType="application/vnd.openxmlformats-officedocument.themeOverrid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24.xml" ContentType="application/vnd.openxmlformats-officedocument.themeOverrid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25.xml" ContentType="application/vnd.openxmlformats-officedocument.themeOverrid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26.xml" ContentType="application/vnd.openxmlformats-officedocument.themeOverrid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theme/themeOverride27.xml" ContentType="application/vnd.openxmlformats-officedocument.themeOverrid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theme/themeOverride28.xml" ContentType="application/vnd.openxmlformats-officedocument.themeOverrid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29.xml" ContentType="application/vnd.openxmlformats-officedocument.themeOverrid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30.xml" ContentType="application/vnd.openxmlformats-officedocument.themeOverrid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theme/themeOverride31.xml" ContentType="application/vnd.openxmlformats-officedocument.themeOverrid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32.xml" ContentType="application/vnd.openxmlformats-officedocument.themeOverrid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33.xml" ContentType="application/vnd.openxmlformats-officedocument.themeOverrid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theme/themeOverride34.xml" ContentType="application/vnd.openxmlformats-officedocument.themeOverrid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theme/themeOverride35.xml" ContentType="application/vnd.openxmlformats-officedocument.themeOverrid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theme/themeOverride36.xml" ContentType="application/vnd.openxmlformats-officedocument.themeOverrid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theme/themeOverride37.xml" ContentType="application/vnd.openxmlformats-officedocument.themeOverrid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theme/themeOverride38.xml" ContentType="application/vnd.openxmlformats-officedocument.themeOverrid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theme/themeOverride39.xml" ContentType="application/vnd.openxmlformats-officedocument.themeOverrid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theme/themeOverride40.xml" ContentType="application/vnd.openxmlformats-officedocument.themeOverrid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theme/themeOverride41.xml" ContentType="application/vnd.openxmlformats-officedocument.themeOverrid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theme/themeOverride42.xml" ContentType="application/vnd.openxmlformats-officedocument.themeOverrid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theme/themeOverride43.xml" ContentType="application/vnd.openxmlformats-officedocument.themeOverrid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theme/themeOverride44.xml" ContentType="application/vnd.openxmlformats-officedocument.themeOverrid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theme/themeOverride45.xml" ContentType="application/vnd.openxmlformats-officedocument.themeOverrid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theme/themeOverride46.xml" ContentType="application/vnd.openxmlformats-officedocument.themeOverrid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theme/themeOverride47.xml" ContentType="application/vnd.openxmlformats-officedocument.themeOverrid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theme/themeOverride48.xml" ContentType="application/vnd.openxmlformats-officedocument.themeOverrid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slicers/slicer3.xml" ContentType="application/vnd.ms-excel.slicer+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slicers/slicer4.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mc:AlternateContent xmlns:mc="http://schemas.openxmlformats.org/markup-compatibility/2006">
    <mc:Choice Requires="x15">
      <x15ac:absPath xmlns:x15ac="http://schemas.microsoft.com/office/spreadsheetml/2010/11/ac" url="https://livejohnshopkins-my.sharepoint.com/personal/kghobad1_jh_edu/Documents/Project/Covid/Resource Allocation/Data/"/>
    </mc:Choice>
  </mc:AlternateContent>
  <xr:revisionPtr revIDLastSave="16" documentId="11_3C150C268BCC656ABC354508324B5ED7CDA3082E" xr6:coauthVersionLast="45" xr6:coauthVersionMax="45" xr10:uidLastSave="{AA8A5C5F-ED77-4611-9046-2BA0B2DC111C}"/>
  <bookViews>
    <workbookView minimized="1" xWindow="-25140" yWindow="-6540" windowWidth="13660" windowHeight="13173" activeTab="4" xr2:uid="{00000000-000D-0000-FFFF-FFFF00000000}"/>
  </bookViews>
  <sheets>
    <sheet name="Summary" sheetId="4" r:id="rId1"/>
    <sheet name="Planner" sheetId="1" r:id="rId2"/>
    <sheet name="Chart" sheetId="3" state="hidden" r:id="rId3"/>
    <sheet name="Labels" sheetId="5" state="hidden" r:id="rId4"/>
    <sheet name="Max" sheetId="2" r:id="rId5"/>
  </sheets>
  <definedNames>
    <definedName name="F2Out">Chart!$P$1:$P$34</definedName>
    <definedName name="FOut">Chart!$N$1:$N$34</definedName>
    <definedName name="_xlnm.Print_Titles" localSheetId="0">Summary!$2:$9</definedName>
    <definedName name="Slicer_Baseline_COVID_Status">#N/A</definedName>
    <definedName name="Slicer_Baseline_Type">#N/A</definedName>
    <definedName name="Slicer_Facility">#N/A</definedName>
    <definedName name="Slicer_Facility1">#N/A</definedName>
    <definedName name="Slicer_Facility2">#N/A</definedName>
    <definedName name="Slicer_Facility3">#N/A</definedName>
    <definedName name="Slicer_Max_COVID_Status">#N/A</definedName>
    <definedName name="Slicer_Max_Type">#N/A</definedName>
    <definedName name="Slicer_Next_Up_COVID_Status">#N/A</definedName>
    <definedName name="Slicer_Next_Up_Type">#N/A</definedName>
    <definedName name="Slicer_Ramp_Up_COVID_Status">#N/A</definedName>
    <definedName name="Slicer_Ramp_Up_Type">#N/A</definedName>
    <definedName name="Slicer_Surge_COVID_Status">#N/A</definedName>
    <definedName name="Slicer_Surge_Type">#N/A</definedName>
  </definedNames>
  <calcPr calcId="191029" calcCompleted="0"/>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09" i="2" l="1"/>
  <c r="A209" i="2"/>
  <c r="J7" i="2" l="1"/>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6"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S30" i="1" l="1"/>
  <c r="B35" i="3" l="1"/>
  <c r="B36" i="3"/>
  <c r="J35" i="3"/>
  <c r="J36" i="3"/>
  <c r="B28" i="3"/>
  <c r="B29" i="3"/>
  <c r="J28" i="3"/>
  <c r="J29" i="3"/>
  <c r="B21" i="3"/>
  <c r="B22" i="3"/>
  <c r="J21" i="3"/>
  <c r="J22" i="3"/>
  <c r="B14" i="3"/>
  <c r="B15" i="3"/>
  <c r="J14" i="3"/>
  <c r="J15" i="3"/>
  <c r="B7" i="3"/>
  <c r="J7" i="3"/>
  <c r="B8" i="3"/>
  <c r="J8" i="3"/>
  <c r="E14" i="3"/>
  <c r="I21" i="3"/>
  <c r="G14" i="3"/>
  <c r="H15" i="3"/>
  <c r="I35" i="3"/>
  <c r="H22" i="3"/>
  <c r="F35" i="3"/>
  <c r="F7" i="3"/>
  <c r="F21" i="3"/>
  <c r="G22" i="3"/>
  <c r="H14" i="3"/>
  <c r="E36" i="3"/>
  <c r="F28" i="3"/>
  <c r="G28" i="3"/>
  <c r="G35" i="3"/>
  <c r="I36" i="3"/>
  <c r="E35" i="3"/>
  <c r="F22" i="3"/>
  <c r="H21" i="3"/>
  <c r="F29" i="3"/>
  <c r="I7" i="3"/>
  <c r="H35" i="3"/>
  <c r="F36" i="3"/>
  <c r="I28" i="3"/>
  <c r="H36" i="3"/>
  <c r="E7" i="3"/>
  <c r="I8" i="3"/>
  <c r="I22" i="3"/>
  <c r="E8" i="3"/>
  <c r="G8" i="3"/>
  <c r="E15" i="3"/>
  <c r="G15" i="3"/>
  <c r="H7" i="3"/>
  <c r="E22" i="3"/>
  <c r="I15" i="3"/>
  <c r="G21" i="3"/>
  <c r="G29" i="3"/>
  <c r="E16" i="3"/>
  <c r="E21" i="3"/>
  <c r="E29" i="3"/>
  <c r="F15" i="3"/>
  <c r="H29" i="3"/>
  <c r="G36" i="3"/>
  <c r="H8" i="3"/>
  <c r="F8" i="3"/>
  <c r="I14" i="3"/>
  <c r="F14" i="3"/>
  <c r="I29" i="3"/>
  <c r="E28" i="3"/>
  <c r="G7" i="3"/>
  <c r="H28" i="3"/>
  <c r="H180" i="3" l="1"/>
  <c r="F180" i="3"/>
  <c r="G180" i="3"/>
  <c r="E180" i="3"/>
  <c r="H191" i="3"/>
  <c r="F191" i="3"/>
  <c r="E191" i="3"/>
  <c r="G191" i="3"/>
  <c r="E168" i="3"/>
  <c r="H168" i="3"/>
  <c r="G168" i="3"/>
  <c r="F168" i="3"/>
  <c r="E157" i="3"/>
  <c r="G157" i="3"/>
  <c r="H157" i="3"/>
  <c r="F157" i="3"/>
  <c r="H122" i="3"/>
  <c r="F122" i="3"/>
  <c r="E122" i="3"/>
  <c r="G122" i="3"/>
  <c r="G111" i="3"/>
  <c r="F111" i="3"/>
  <c r="H111" i="3"/>
  <c r="E111" i="3"/>
  <c r="H99" i="3"/>
  <c r="G99" i="3"/>
  <c r="E99" i="3"/>
  <c r="F99" i="3"/>
  <c r="H88" i="3"/>
  <c r="E88" i="3"/>
  <c r="G88" i="3"/>
  <c r="F88" i="3"/>
  <c r="E145" i="3"/>
  <c r="H145" i="3"/>
  <c r="G145" i="3"/>
  <c r="F145" i="3"/>
  <c r="F134" i="3"/>
  <c r="H134" i="3"/>
  <c r="G134" i="3"/>
  <c r="E134" i="3"/>
  <c r="A41" i="2"/>
  <c r="A186" i="2" l="1"/>
  <c r="A259" i="2" l="1"/>
  <c r="J3" i="3" l="1"/>
  <c r="J4" i="3"/>
  <c r="J5" i="3"/>
  <c r="J6" i="3"/>
  <c r="J9" i="3"/>
  <c r="J10" i="3"/>
  <c r="J11" i="3"/>
  <c r="J12" i="3"/>
  <c r="J13" i="3"/>
  <c r="J16" i="3"/>
  <c r="J17" i="3"/>
  <c r="J18" i="3"/>
  <c r="J19" i="3"/>
  <c r="J20" i="3"/>
  <c r="J23" i="3"/>
  <c r="J24" i="3"/>
  <c r="J25" i="3"/>
  <c r="J26" i="3"/>
  <c r="J27" i="3"/>
  <c r="J30" i="3"/>
  <c r="J31" i="3"/>
  <c r="J32" i="3"/>
  <c r="J33" i="3"/>
  <c r="J34" i="3"/>
  <c r="J2" i="3"/>
  <c r="G76" i="3" l="1"/>
  <c r="F76" i="3"/>
  <c r="E76" i="3"/>
  <c r="H65" i="3"/>
  <c r="G65" i="3"/>
  <c r="F65" i="3"/>
  <c r="E65" i="3"/>
  <c r="H76" i="3"/>
  <c r="A280" i="2"/>
  <c r="A200" i="2"/>
  <c r="A201" i="2"/>
  <c r="A67" i="2"/>
  <c r="A66" i="2"/>
  <c r="F27" i="3"/>
  <c r="F32" i="3"/>
  <c r="E31" i="3"/>
  <c r="E18" i="3"/>
  <c r="F33" i="3"/>
  <c r="F24" i="3"/>
  <c r="F23" i="3"/>
  <c r="F12" i="3"/>
  <c r="F25" i="3"/>
  <c r="E2" i="3"/>
  <c r="E19" i="3"/>
  <c r="F16" i="3"/>
  <c r="F34" i="3"/>
  <c r="E11" i="3"/>
  <c r="F26" i="3"/>
  <c r="F17" i="3"/>
  <c r="E25" i="3"/>
  <c r="E3" i="3"/>
  <c r="E20" i="3"/>
  <c r="F9" i="3"/>
  <c r="E23" i="3"/>
  <c r="F11" i="3"/>
  <c r="E26" i="3"/>
  <c r="E17" i="3"/>
  <c r="E13" i="3"/>
  <c r="E34" i="3"/>
  <c r="E27" i="3"/>
  <c r="E12" i="3"/>
  <c r="E24" i="3"/>
  <c r="E30" i="3"/>
  <c r="F2" i="3"/>
  <c r="E32" i="3"/>
  <c r="F18" i="3"/>
  <c r="E6" i="3"/>
  <c r="F31" i="3"/>
  <c r="E4" i="3"/>
  <c r="F10" i="3"/>
  <c r="E9" i="3"/>
  <c r="F30" i="3"/>
  <c r="E10" i="3"/>
  <c r="F13" i="3"/>
  <c r="F5" i="3"/>
  <c r="F6" i="3"/>
  <c r="E5" i="3"/>
  <c r="E33" i="3"/>
  <c r="F20" i="3"/>
  <c r="F4" i="3"/>
  <c r="F3" i="3"/>
  <c r="F19" i="3"/>
  <c r="F82" i="3" l="1"/>
  <c r="F71" i="3"/>
  <c r="E82" i="3"/>
  <c r="E71" i="3"/>
  <c r="E186" i="3"/>
  <c r="E197" i="3"/>
  <c r="F186" i="3"/>
  <c r="F197" i="3"/>
  <c r="E163" i="3"/>
  <c r="E174" i="3"/>
  <c r="F163" i="3"/>
  <c r="F174" i="3"/>
  <c r="E140" i="3"/>
  <c r="E151" i="3"/>
  <c r="F140" i="3"/>
  <c r="F151" i="3"/>
  <c r="E117" i="3"/>
  <c r="E128" i="3"/>
  <c r="F117" i="3"/>
  <c r="F128" i="3"/>
  <c r="E94" i="3"/>
  <c r="E105" i="3"/>
  <c r="F94" i="3"/>
  <c r="F105" i="3"/>
  <c r="A65" i="2"/>
  <c r="A64" i="2"/>
  <c r="F86" i="3" l="1"/>
  <c r="E86" i="3"/>
  <c r="F178" i="3"/>
  <c r="F155" i="3"/>
  <c r="F201" i="3"/>
  <c r="E201" i="3"/>
  <c r="E178" i="3"/>
  <c r="E155" i="3"/>
  <c r="E132" i="3"/>
  <c r="F132" i="3"/>
  <c r="A230" i="2"/>
  <c r="A210" i="2" l="1"/>
  <c r="A183" i="2" l="1"/>
  <c r="A160" i="2"/>
  <c r="B3" i="3" l="1"/>
  <c r="B4" i="3"/>
  <c r="B5" i="3"/>
  <c r="B6" i="3"/>
  <c r="B9" i="3"/>
  <c r="B10" i="3"/>
  <c r="B11" i="3"/>
  <c r="B12" i="3"/>
  <c r="B13" i="3"/>
  <c r="B16" i="3"/>
  <c r="B17" i="3"/>
  <c r="B18" i="3"/>
  <c r="B19" i="3"/>
  <c r="B20" i="3"/>
  <c r="B23" i="3"/>
  <c r="B24" i="3"/>
  <c r="B25" i="3"/>
  <c r="B26" i="3"/>
  <c r="B27" i="3"/>
  <c r="B30" i="3"/>
  <c r="B31" i="3"/>
  <c r="B32" i="3"/>
  <c r="B33" i="3"/>
  <c r="B34" i="3"/>
  <c r="B2" i="3"/>
  <c r="H11" i="3"/>
  <c r="G23" i="3"/>
  <c r="H3" i="3"/>
  <c r="I33" i="3"/>
  <c r="G6" i="3"/>
  <c r="G2" i="3"/>
  <c r="G32" i="3"/>
  <c r="I13" i="3"/>
  <c r="I4" i="3"/>
  <c r="H6" i="3"/>
  <c r="H33" i="3"/>
  <c r="H2" i="3"/>
  <c r="I24" i="3"/>
  <c r="I9" i="3"/>
  <c r="I5" i="3"/>
  <c r="H25" i="3"/>
  <c r="H13" i="3"/>
  <c r="H34" i="3"/>
  <c r="I11" i="3"/>
  <c r="I10" i="3"/>
  <c r="H16" i="3"/>
  <c r="I26" i="3"/>
  <c r="G27" i="3"/>
  <c r="G24" i="3"/>
  <c r="I17" i="3"/>
  <c r="H12" i="3"/>
  <c r="G34" i="3"/>
  <c r="I18" i="3"/>
  <c r="H32" i="3"/>
  <c r="H24" i="3"/>
  <c r="H18" i="3"/>
  <c r="G4" i="3"/>
  <c r="I31" i="3"/>
  <c r="G31" i="3"/>
  <c r="G33" i="3"/>
  <c r="H26" i="3"/>
  <c r="G26" i="3"/>
  <c r="H23" i="3"/>
  <c r="I25" i="3"/>
  <c r="G18" i="3"/>
  <c r="G20" i="3"/>
  <c r="H20" i="3"/>
  <c r="H9" i="3"/>
  <c r="G17" i="3"/>
  <c r="H30" i="3"/>
  <c r="I32" i="3"/>
  <c r="H31" i="3"/>
  <c r="H27" i="3"/>
  <c r="H4" i="3"/>
  <c r="I20" i="3"/>
  <c r="G19" i="3"/>
  <c r="G25" i="3"/>
  <c r="I12" i="3"/>
  <c r="H10" i="3"/>
  <c r="H19" i="3"/>
  <c r="G12" i="3"/>
  <c r="I2" i="3"/>
  <c r="G16" i="3"/>
  <c r="H5" i="3"/>
  <c r="G5" i="3"/>
  <c r="I30" i="3"/>
  <c r="I34" i="3"/>
  <c r="G3" i="3"/>
  <c r="I23" i="3"/>
  <c r="G11" i="3"/>
  <c r="G10" i="3"/>
  <c r="I6" i="3"/>
  <c r="I16" i="3"/>
  <c r="I3" i="3"/>
  <c r="I19" i="3"/>
  <c r="G13" i="3"/>
  <c r="G30" i="3"/>
  <c r="I27" i="3"/>
  <c r="H17" i="3"/>
  <c r="G9" i="3"/>
  <c r="H78" i="3" l="1"/>
  <c r="G78" i="3"/>
  <c r="F78" i="3"/>
  <c r="E78" i="3"/>
  <c r="H67" i="3"/>
  <c r="G67" i="3"/>
  <c r="F67" i="3"/>
  <c r="E67" i="3"/>
  <c r="E75" i="3"/>
  <c r="E83" i="3" s="1"/>
  <c r="E64" i="3"/>
  <c r="E73" i="3" s="1"/>
  <c r="H193" i="3"/>
  <c r="H200" i="3" s="1"/>
  <c r="E193" i="3"/>
  <c r="F193" i="3"/>
  <c r="G193" i="3"/>
  <c r="H170" i="3"/>
  <c r="G170" i="3"/>
  <c r="F170" i="3"/>
  <c r="E170" i="3"/>
  <c r="H147" i="3"/>
  <c r="F147" i="3"/>
  <c r="G147" i="3"/>
  <c r="E147" i="3"/>
  <c r="H101" i="3"/>
  <c r="F101" i="3"/>
  <c r="G101" i="3"/>
  <c r="G108" i="3" s="1"/>
  <c r="E101" i="3"/>
  <c r="H124" i="3"/>
  <c r="G124" i="3"/>
  <c r="E190" i="3"/>
  <c r="E199" i="3" s="1"/>
  <c r="H190" i="3"/>
  <c r="H199" i="3" s="1"/>
  <c r="G190" i="3"/>
  <c r="G199" i="3" s="1"/>
  <c r="F190" i="3"/>
  <c r="F199" i="3" s="1"/>
  <c r="G167" i="3"/>
  <c r="G176" i="3" s="1"/>
  <c r="E167" i="3"/>
  <c r="E176" i="3" s="1"/>
  <c r="H167" i="3"/>
  <c r="H176" i="3" s="1"/>
  <c r="F167" i="3"/>
  <c r="F176" i="3" s="1"/>
  <c r="E144" i="3"/>
  <c r="E153" i="3" s="1"/>
  <c r="H144" i="3"/>
  <c r="H153" i="3" s="1"/>
  <c r="G144" i="3"/>
  <c r="G153" i="3" s="1"/>
  <c r="F144" i="3"/>
  <c r="F153" i="3" s="1"/>
  <c r="F124" i="3"/>
  <c r="G121" i="3"/>
  <c r="G130" i="3" s="1"/>
  <c r="E124" i="3"/>
  <c r="H121" i="3"/>
  <c r="H130" i="3" s="1"/>
  <c r="F121" i="3"/>
  <c r="F130" i="3" s="1"/>
  <c r="E121" i="3"/>
  <c r="E130" i="3" s="1"/>
  <c r="H182" i="3"/>
  <c r="H189" i="3" s="1"/>
  <c r="G182" i="3"/>
  <c r="G189" i="3" s="1"/>
  <c r="F182" i="3"/>
  <c r="F189" i="3" s="1"/>
  <c r="E182" i="3"/>
  <c r="E189" i="3" s="1"/>
  <c r="H179" i="3"/>
  <c r="H188" i="3" s="1"/>
  <c r="G179" i="3"/>
  <c r="G188" i="3" s="1"/>
  <c r="E179" i="3"/>
  <c r="E188" i="3" s="1"/>
  <c r="F179" i="3"/>
  <c r="F188" i="3" s="1"/>
  <c r="H159" i="3"/>
  <c r="H166" i="3" s="1"/>
  <c r="G159" i="3"/>
  <c r="G166" i="3" s="1"/>
  <c r="F159" i="3"/>
  <c r="F166" i="3" s="1"/>
  <c r="E159" i="3"/>
  <c r="E166" i="3" s="1"/>
  <c r="H156" i="3"/>
  <c r="H165" i="3" s="1"/>
  <c r="E156" i="3"/>
  <c r="E165" i="3" s="1"/>
  <c r="G156" i="3"/>
  <c r="G165" i="3" s="1"/>
  <c r="F156" i="3"/>
  <c r="F165" i="3" s="1"/>
  <c r="H136" i="3"/>
  <c r="H143" i="3" s="1"/>
  <c r="G136" i="3"/>
  <c r="G143" i="3" s="1"/>
  <c r="F136" i="3"/>
  <c r="F143" i="3" s="1"/>
  <c r="E136" i="3"/>
  <c r="E143" i="3" s="1"/>
  <c r="E133" i="3"/>
  <c r="E142" i="3" s="1"/>
  <c r="H133" i="3"/>
  <c r="H142" i="3" s="1"/>
  <c r="G133" i="3"/>
  <c r="G142" i="3" s="1"/>
  <c r="F133" i="3"/>
  <c r="F142" i="3" s="1"/>
  <c r="G113" i="3"/>
  <c r="G120" i="3" s="1"/>
  <c r="F113" i="3"/>
  <c r="F120" i="3" s="1"/>
  <c r="H110" i="3"/>
  <c r="H119" i="3" s="1"/>
  <c r="G110" i="3"/>
  <c r="G119" i="3" s="1"/>
  <c r="F110" i="3"/>
  <c r="F119" i="3" s="1"/>
  <c r="E110" i="3"/>
  <c r="E119" i="3" s="1"/>
  <c r="H113" i="3"/>
  <c r="H120" i="3" s="1"/>
  <c r="E113" i="3"/>
  <c r="E120" i="3" s="1"/>
  <c r="E98" i="3"/>
  <c r="E107" i="3" s="1"/>
  <c r="G98" i="3"/>
  <c r="G107" i="3" s="1"/>
  <c r="H98" i="3"/>
  <c r="H107" i="3" s="1"/>
  <c r="F98" i="3"/>
  <c r="F107" i="3" s="1"/>
  <c r="H90" i="3"/>
  <c r="G90" i="3"/>
  <c r="F90" i="3"/>
  <c r="F97" i="3" s="1"/>
  <c r="E90" i="3"/>
  <c r="E97" i="3" s="1"/>
  <c r="E87" i="3"/>
  <c r="E96" i="3" s="1"/>
  <c r="H53" i="3"/>
  <c r="G53" i="3"/>
  <c r="F53" i="3"/>
  <c r="E53" i="3"/>
  <c r="F55" i="3"/>
  <c r="F62" i="3" s="1"/>
  <c r="E55" i="3"/>
  <c r="E62" i="3" s="1"/>
  <c r="H55" i="3"/>
  <c r="H62" i="3" s="1"/>
  <c r="G55" i="3"/>
  <c r="G62" i="3" s="1"/>
  <c r="H44" i="3"/>
  <c r="G44" i="3"/>
  <c r="F44" i="3"/>
  <c r="E44" i="3"/>
  <c r="H42" i="3"/>
  <c r="F42" i="3"/>
  <c r="G42" i="3"/>
  <c r="E42" i="3"/>
  <c r="E41" i="3"/>
  <c r="E49" i="3" s="1"/>
  <c r="H75" i="3"/>
  <c r="H84" i="3" s="1"/>
  <c r="F75" i="3"/>
  <c r="G75" i="3"/>
  <c r="G84" i="3" s="1"/>
  <c r="G71" i="3"/>
  <c r="H71" i="3"/>
  <c r="G82" i="3"/>
  <c r="H64" i="3"/>
  <c r="H73" i="3" s="1"/>
  <c r="G64" i="3"/>
  <c r="G73" i="3" s="1"/>
  <c r="F64" i="3"/>
  <c r="F73" i="3" s="1"/>
  <c r="H82" i="3"/>
  <c r="H186" i="3"/>
  <c r="G186" i="3"/>
  <c r="H197" i="3"/>
  <c r="G197" i="3"/>
  <c r="H163" i="3"/>
  <c r="G163" i="3"/>
  <c r="H174" i="3"/>
  <c r="G174" i="3"/>
  <c r="H140" i="3"/>
  <c r="G140" i="3"/>
  <c r="H151" i="3"/>
  <c r="G151" i="3"/>
  <c r="H117" i="3"/>
  <c r="G117" i="3"/>
  <c r="H128" i="3"/>
  <c r="G128" i="3"/>
  <c r="H94" i="3"/>
  <c r="G94" i="3"/>
  <c r="H105" i="3"/>
  <c r="G105" i="3"/>
  <c r="H87" i="3"/>
  <c r="H96" i="3" s="1"/>
  <c r="G87" i="3"/>
  <c r="G96" i="3" s="1"/>
  <c r="F87" i="3"/>
  <c r="F96" i="3" s="1"/>
  <c r="E59" i="3"/>
  <c r="F48" i="3"/>
  <c r="E48" i="3"/>
  <c r="F59" i="3"/>
  <c r="G59" i="3"/>
  <c r="G52" i="3"/>
  <c r="F52" i="3"/>
  <c r="E52" i="3"/>
  <c r="H52" i="3"/>
  <c r="H59" i="3"/>
  <c r="H48" i="3"/>
  <c r="F41" i="3"/>
  <c r="H41" i="3"/>
  <c r="G41" i="3"/>
  <c r="G48" i="3"/>
  <c r="I37" i="3"/>
  <c r="F282" i="2"/>
  <c r="I282" i="2" s="1"/>
  <c r="A281" i="2"/>
  <c r="A279" i="2"/>
  <c r="A278" i="2"/>
  <c r="A277" i="2"/>
  <c r="A276" i="2"/>
  <c r="A275" i="2"/>
  <c r="A274" i="2"/>
  <c r="A273" i="2"/>
  <c r="A272" i="2"/>
  <c r="A271" i="2"/>
  <c r="A270" i="2"/>
  <c r="A269" i="2"/>
  <c r="A268" i="2"/>
  <c r="A267" i="2"/>
  <c r="A266" i="2"/>
  <c r="A265" i="2"/>
  <c r="A264" i="2"/>
  <c r="A263" i="2"/>
  <c r="A262" i="2"/>
  <c r="A261" i="2"/>
  <c r="A260"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29" i="2"/>
  <c r="A228" i="2"/>
  <c r="A227" i="2"/>
  <c r="A226" i="2"/>
  <c r="A225" i="2"/>
  <c r="A224" i="2"/>
  <c r="A223" i="2"/>
  <c r="A222" i="2"/>
  <c r="A221" i="2"/>
  <c r="A220" i="2"/>
  <c r="A219" i="2"/>
  <c r="A218" i="2"/>
  <c r="A217" i="2"/>
  <c r="A216" i="2"/>
  <c r="A215" i="2"/>
  <c r="A214" i="2"/>
  <c r="A213" i="2"/>
  <c r="A212" i="2"/>
  <c r="A211" i="2"/>
  <c r="A208" i="2"/>
  <c r="A207" i="2"/>
  <c r="A206" i="2"/>
  <c r="A205" i="2"/>
  <c r="A204" i="2"/>
  <c r="A203" i="2"/>
  <c r="A202" i="2"/>
  <c r="A199" i="2"/>
  <c r="A198" i="2"/>
  <c r="A197" i="2"/>
  <c r="A196" i="2"/>
  <c r="A195" i="2"/>
  <c r="A194" i="2"/>
  <c r="A193" i="2"/>
  <c r="A192" i="2"/>
  <c r="A191" i="2"/>
  <c r="A190" i="2"/>
  <c r="A189" i="2"/>
  <c r="A188" i="2"/>
  <c r="A187" i="2"/>
  <c r="A185" i="2"/>
  <c r="A184" i="2"/>
  <c r="A182" i="2"/>
  <c r="A181" i="2"/>
  <c r="A180" i="2"/>
  <c r="A179" i="2"/>
  <c r="A178" i="2"/>
  <c r="A177" i="2"/>
  <c r="A176" i="2"/>
  <c r="A175" i="2"/>
  <c r="A174" i="2"/>
  <c r="A173" i="2"/>
  <c r="A172" i="2"/>
  <c r="A171" i="2"/>
  <c r="A170" i="2"/>
  <c r="A169" i="2"/>
  <c r="A168" i="2"/>
  <c r="A167" i="2"/>
  <c r="A166" i="2"/>
  <c r="A165" i="2"/>
  <c r="A164" i="2"/>
  <c r="A163" i="2"/>
  <c r="A162" i="2"/>
  <c r="A161" i="2"/>
  <c r="A159" i="2"/>
  <c r="A158" i="2"/>
  <c r="A157" i="2"/>
  <c r="A156" i="2"/>
  <c r="A155" i="2"/>
  <c r="A154" i="2"/>
  <c r="A153" i="2"/>
  <c r="A152" i="2"/>
  <c r="A151" i="2"/>
  <c r="A150" i="2"/>
  <c r="A149" i="2"/>
  <c r="A148" i="2"/>
  <c r="A147" i="2"/>
  <c r="A146" i="2"/>
  <c r="A145" i="2"/>
  <c r="A144" i="2"/>
  <c r="A143" i="2"/>
  <c r="A142" i="2"/>
  <c r="A141" i="2"/>
  <c r="A122" i="2"/>
  <c r="A123" i="2"/>
  <c r="A91" i="2"/>
  <c r="A49" i="2"/>
  <c r="A48" i="2"/>
  <c r="A117" i="2"/>
  <c r="A116" i="2"/>
  <c r="A108" i="2"/>
  <c r="A107" i="2"/>
  <c r="A102" i="2"/>
  <c r="A101" i="2"/>
  <c r="A100" i="2"/>
  <c r="A55" i="2"/>
  <c r="A54" i="2"/>
  <c r="A40" i="2"/>
  <c r="A39" i="2"/>
  <c r="A38" i="2"/>
  <c r="A37" i="2"/>
  <c r="A36" i="2"/>
  <c r="A35" i="2"/>
  <c r="A34" i="2"/>
  <c r="A26" i="2"/>
  <c r="A25" i="2"/>
  <c r="A15" i="2"/>
  <c r="A14" i="2"/>
  <c r="A11" i="2"/>
  <c r="A10" i="2"/>
  <c r="A59" i="2"/>
  <c r="A58" i="2"/>
  <c r="A57" i="2"/>
  <c r="A56" i="2"/>
  <c r="A52" i="2"/>
  <c r="A53" i="2"/>
  <c r="A140" i="2"/>
  <c r="A139" i="2"/>
  <c r="A136" i="2"/>
  <c r="A138" i="2"/>
  <c r="A137" i="2"/>
  <c r="A135" i="2"/>
  <c r="A134" i="2"/>
  <c r="A131" i="2"/>
  <c r="A130" i="2"/>
  <c r="A133" i="2"/>
  <c r="A132" i="2"/>
  <c r="A129" i="2"/>
  <c r="A128" i="2"/>
  <c r="A125" i="2"/>
  <c r="A124" i="2"/>
  <c r="A127" i="2"/>
  <c r="A126" i="2"/>
  <c r="A106" i="2"/>
  <c r="A103" i="2"/>
  <c r="A105" i="2"/>
  <c r="A104" i="2"/>
  <c r="A98" i="2"/>
  <c r="A97" i="2"/>
  <c r="A96" i="2"/>
  <c r="A95" i="2"/>
  <c r="A99" i="2"/>
  <c r="A85" i="2"/>
  <c r="A84" i="2"/>
  <c r="A24" i="2"/>
  <c r="A23" i="2"/>
  <c r="A22" i="2"/>
  <c r="A21" i="2"/>
  <c r="A94" i="2"/>
  <c r="A18" i="2"/>
  <c r="A13" i="2"/>
  <c r="A12" i="2"/>
  <c r="A9" i="2"/>
  <c r="A8" i="2"/>
  <c r="A7" i="2"/>
  <c r="A6" i="2"/>
  <c r="A121" i="2"/>
  <c r="A120" i="2"/>
  <c r="A119" i="2"/>
  <c r="A118" i="2"/>
  <c r="A115" i="2"/>
  <c r="A114" i="2"/>
  <c r="A112" i="2"/>
  <c r="A111" i="2"/>
  <c r="A110" i="2"/>
  <c r="A109" i="2"/>
  <c r="A51" i="2"/>
  <c r="A50" i="2"/>
  <c r="A87" i="2"/>
  <c r="A86" i="2"/>
  <c r="A72" i="2"/>
  <c r="A73" i="2"/>
  <c r="A44" i="2"/>
  <c r="A28" i="2"/>
  <c r="A20" i="2"/>
  <c r="A19" i="2"/>
  <c r="A17" i="2"/>
  <c r="A16" i="2"/>
  <c r="A93" i="2"/>
  <c r="A92" i="2"/>
  <c r="A27" i="2"/>
  <c r="A83" i="2"/>
  <c r="A82" i="2"/>
  <c r="A81" i="2"/>
  <c r="A80" i="2"/>
  <c r="A79" i="2"/>
  <c r="A78" i="2"/>
  <c r="A77" i="2"/>
  <c r="A76" i="2"/>
  <c r="A75" i="2"/>
  <c r="A74" i="2"/>
  <c r="A71" i="2"/>
  <c r="A70" i="2"/>
  <c r="A69" i="2"/>
  <c r="A68" i="2"/>
  <c r="A63" i="2"/>
  <c r="A62" i="2"/>
  <c r="A61" i="2"/>
  <c r="A60" i="2"/>
  <c r="A32" i="2"/>
  <c r="A31" i="2"/>
  <c r="A30" i="2"/>
  <c r="A29" i="2"/>
  <c r="A113" i="2"/>
  <c r="A90" i="2"/>
  <c r="A89" i="2"/>
  <c r="A88" i="2"/>
  <c r="A47" i="2"/>
  <c r="A46" i="2"/>
  <c r="A45" i="2"/>
  <c r="A43" i="2"/>
  <c r="A42" i="2"/>
  <c r="A33" i="2"/>
  <c r="E306" i="1"/>
  <c r="F85" i="3" l="1"/>
  <c r="F80" i="3"/>
  <c r="F79" i="3" s="1"/>
  <c r="E85" i="3"/>
  <c r="E80" i="3"/>
  <c r="E79" i="3" s="1"/>
  <c r="F69" i="3"/>
  <c r="F68" i="3" s="1"/>
  <c r="F74" i="3"/>
  <c r="E69" i="3"/>
  <c r="E68" i="3" s="1"/>
  <c r="E74" i="3"/>
  <c r="H85" i="3"/>
  <c r="H77" i="3"/>
  <c r="G85" i="3"/>
  <c r="G77" i="3"/>
  <c r="F84" i="3"/>
  <c r="F77" i="3"/>
  <c r="E84" i="3"/>
  <c r="E77" i="3"/>
  <c r="F106" i="3"/>
  <c r="G83" i="3"/>
  <c r="F83" i="3"/>
  <c r="H83" i="3"/>
  <c r="G72" i="3"/>
  <c r="H72" i="3"/>
  <c r="E66" i="3"/>
  <c r="E72" i="3"/>
  <c r="F72" i="3"/>
  <c r="F66" i="3"/>
  <c r="H74" i="3"/>
  <c r="H66" i="3"/>
  <c r="G74" i="3"/>
  <c r="G66" i="3"/>
  <c r="E192" i="3"/>
  <c r="G200" i="3"/>
  <c r="G192" i="3"/>
  <c r="F200" i="3"/>
  <c r="F192" i="3"/>
  <c r="E200" i="3"/>
  <c r="H192" i="3"/>
  <c r="E177" i="3"/>
  <c r="E169" i="3"/>
  <c r="F177" i="3"/>
  <c r="F169" i="3"/>
  <c r="G177" i="3"/>
  <c r="G169" i="3"/>
  <c r="H177" i="3"/>
  <c r="H169" i="3"/>
  <c r="F131" i="3"/>
  <c r="F123" i="3"/>
  <c r="E131" i="3"/>
  <c r="E123" i="3"/>
  <c r="G131" i="3"/>
  <c r="G123" i="3"/>
  <c r="H131" i="3"/>
  <c r="H123" i="3"/>
  <c r="E108" i="3"/>
  <c r="E100" i="3"/>
  <c r="G100" i="3"/>
  <c r="F108" i="3"/>
  <c r="F100" i="3"/>
  <c r="H108" i="3"/>
  <c r="H100" i="3"/>
  <c r="G154" i="3"/>
  <c r="G146" i="3"/>
  <c r="F154" i="3"/>
  <c r="F146" i="3"/>
  <c r="H154" i="3"/>
  <c r="H146" i="3"/>
  <c r="E154" i="3"/>
  <c r="E146" i="3"/>
  <c r="H106" i="3"/>
  <c r="H50" i="3"/>
  <c r="F198" i="3"/>
  <c r="G198" i="3"/>
  <c r="H198" i="3"/>
  <c r="E198" i="3"/>
  <c r="H175" i="3"/>
  <c r="E175" i="3"/>
  <c r="G175" i="3"/>
  <c r="F175" i="3"/>
  <c r="F152" i="3"/>
  <c r="G152" i="3"/>
  <c r="H152" i="3"/>
  <c r="E152" i="3"/>
  <c r="E129" i="3"/>
  <c r="F129" i="3"/>
  <c r="H129" i="3"/>
  <c r="G129" i="3"/>
  <c r="G106" i="3"/>
  <c r="E195" i="3"/>
  <c r="E194" i="3" s="1"/>
  <c r="F195" i="3"/>
  <c r="F194" i="3" s="1"/>
  <c r="F172" i="3"/>
  <c r="F171" i="3" s="1"/>
  <c r="E172" i="3"/>
  <c r="E171" i="3" s="1"/>
  <c r="E149" i="3"/>
  <c r="E148" i="3" s="1"/>
  <c r="F149" i="3"/>
  <c r="F148" i="3" s="1"/>
  <c r="E126" i="3"/>
  <c r="E125" i="3" s="1"/>
  <c r="F126" i="3"/>
  <c r="F125" i="3" s="1"/>
  <c r="F187" i="3"/>
  <c r="E187" i="3"/>
  <c r="G187" i="3"/>
  <c r="H187" i="3"/>
  <c r="F164" i="3"/>
  <c r="G164" i="3"/>
  <c r="E164" i="3"/>
  <c r="H164" i="3"/>
  <c r="F141" i="3"/>
  <c r="G141" i="3"/>
  <c r="H141" i="3"/>
  <c r="E141" i="3"/>
  <c r="E118" i="3"/>
  <c r="F118" i="3"/>
  <c r="G118" i="3"/>
  <c r="H118" i="3"/>
  <c r="G181" i="3"/>
  <c r="E181" i="3"/>
  <c r="E184" i="3"/>
  <c r="E183" i="3" s="1"/>
  <c r="F181" i="3"/>
  <c r="F184" i="3"/>
  <c r="F183" i="3" s="1"/>
  <c r="H181" i="3"/>
  <c r="E158" i="3"/>
  <c r="E161" i="3"/>
  <c r="E160" i="3" s="1"/>
  <c r="F158" i="3"/>
  <c r="F161" i="3"/>
  <c r="F160" i="3" s="1"/>
  <c r="G158" i="3"/>
  <c r="H158" i="3"/>
  <c r="H112" i="3"/>
  <c r="E135" i="3"/>
  <c r="E138" i="3"/>
  <c r="E137" i="3" s="1"/>
  <c r="F135" i="3"/>
  <c r="F138" i="3"/>
  <c r="F137" i="3" s="1"/>
  <c r="G135" i="3"/>
  <c r="H135" i="3"/>
  <c r="E112" i="3"/>
  <c r="E115" i="3"/>
  <c r="E114" i="3" s="1"/>
  <c r="F112" i="3"/>
  <c r="F115" i="3"/>
  <c r="F114" i="3" s="1"/>
  <c r="G112" i="3"/>
  <c r="E106" i="3"/>
  <c r="G95" i="3"/>
  <c r="H95" i="3"/>
  <c r="E95" i="3"/>
  <c r="E89" i="3"/>
  <c r="G97" i="3"/>
  <c r="G89" i="3"/>
  <c r="H97" i="3"/>
  <c r="H89" i="3"/>
  <c r="F95" i="3"/>
  <c r="F89" i="3"/>
  <c r="F50" i="3"/>
  <c r="H61" i="3"/>
  <c r="H60" i="3"/>
  <c r="E61" i="3"/>
  <c r="E60" i="3"/>
  <c r="F61" i="3"/>
  <c r="F60" i="3"/>
  <c r="G61" i="3"/>
  <c r="G60" i="3"/>
  <c r="G50" i="3"/>
  <c r="G49" i="3"/>
  <c r="H49" i="3"/>
  <c r="F49" i="3"/>
  <c r="E50" i="3"/>
  <c r="G54" i="3"/>
  <c r="H54" i="3"/>
  <c r="E54" i="3"/>
  <c r="F54" i="3"/>
  <c r="F51" i="3"/>
  <c r="F43" i="3"/>
  <c r="G51" i="3"/>
  <c r="G43" i="3"/>
  <c r="H51" i="3"/>
  <c r="H43" i="3"/>
  <c r="E51" i="3"/>
  <c r="E43" i="3"/>
  <c r="G86" i="3"/>
  <c r="H86" i="3"/>
  <c r="H80" i="3"/>
  <c r="H79" i="3" s="1"/>
  <c r="G80" i="3"/>
  <c r="G79" i="3" s="1"/>
  <c r="H69" i="3"/>
  <c r="H68" i="3" s="1"/>
  <c r="G69" i="3"/>
  <c r="G201" i="3"/>
  <c r="H201" i="3"/>
  <c r="G195" i="3"/>
  <c r="G194" i="3" s="1"/>
  <c r="H195" i="3"/>
  <c r="H194" i="3" s="1"/>
  <c r="G184" i="3"/>
  <c r="G183" i="3" s="1"/>
  <c r="H184" i="3"/>
  <c r="H183" i="3" s="1"/>
  <c r="G178" i="3"/>
  <c r="H178" i="3"/>
  <c r="G172" i="3"/>
  <c r="G171" i="3" s="1"/>
  <c r="H172" i="3"/>
  <c r="H171" i="3" s="1"/>
  <c r="G161" i="3"/>
  <c r="G160" i="3" s="1"/>
  <c r="H161" i="3"/>
  <c r="H160" i="3" s="1"/>
  <c r="G149" i="3"/>
  <c r="G148" i="3" s="1"/>
  <c r="H149" i="3"/>
  <c r="H148" i="3" s="1"/>
  <c r="G138" i="3"/>
  <c r="G137" i="3" s="1"/>
  <c r="G155" i="3"/>
  <c r="H138" i="3"/>
  <c r="H137" i="3" s="1"/>
  <c r="H155" i="3"/>
  <c r="G126" i="3"/>
  <c r="G125" i="3" s="1"/>
  <c r="H126" i="3"/>
  <c r="H125" i="3" s="1"/>
  <c r="G115" i="3"/>
  <c r="G114" i="3" s="1"/>
  <c r="G132" i="3"/>
  <c r="H115" i="3"/>
  <c r="H114" i="3" s="1"/>
  <c r="H132" i="3"/>
  <c r="G109" i="3"/>
  <c r="E109" i="3"/>
  <c r="F92" i="3"/>
  <c r="F91" i="3" s="1"/>
  <c r="F109" i="3"/>
  <c r="F103" i="3"/>
  <c r="F102" i="3" s="1"/>
  <c r="E92" i="3"/>
  <c r="E91" i="3" s="1"/>
  <c r="E103" i="3"/>
  <c r="E102" i="3" s="1"/>
  <c r="G92" i="3"/>
  <c r="G91" i="3" s="1"/>
  <c r="H103" i="3"/>
  <c r="H102" i="3" s="1"/>
  <c r="H92" i="3"/>
  <c r="H91" i="3" s="1"/>
  <c r="H109" i="3"/>
  <c r="G103" i="3"/>
  <c r="G102" i="3" s="1"/>
  <c r="Q306" i="1"/>
  <c r="N306" i="1"/>
  <c r="K306" i="1"/>
  <c r="H306" i="1"/>
  <c r="G63" i="3"/>
  <c r="G37" i="3"/>
  <c r="H37" i="3"/>
  <c r="F81" i="3" l="1"/>
  <c r="E70" i="3"/>
  <c r="E81" i="3"/>
  <c r="F70" i="3"/>
  <c r="E173" i="3"/>
  <c r="E196" i="3"/>
  <c r="F173" i="3"/>
  <c r="E127" i="3"/>
  <c r="F196" i="3"/>
  <c r="E150" i="3"/>
  <c r="E185" i="3"/>
  <c r="F127" i="3"/>
  <c r="F150" i="3"/>
  <c r="F185" i="3"/>
  <c r="E116" i="3"/>
  <c r="E162" i="3"/>
  <c r="E139" i="3"/>
  <c r="F116" i="3"/>
  <c r="F139" i="3"/>
  <c r="F162" i="3"/>
  <c r="G68" i="3"/>
  <c r="G70" i="3" s="1"/>
  <c r="G81" i="3"/>
  <c r="H81" i="3"/>
  <c r="H70" i="3"/>
  <c r="G139" i="3"/>
  <c r="G173" i="3"/>
  <c r="H185" i="3"/>
  <c r="G185" i="3"/>
  <c r="H196" i="3"/>
  <c r="G196" i="3"/>
  <c r="H173" i="3"/>
  <c r="H162" i="3"/>
  <c r="G162" i="3"/>
  <c r="G150" i="3"/>
  <c r="H150" i="3"/>
  <c r="H139" i="3"/>
  <c r="G127" i="3"/>
  <c r="H116" i="3"/>
  <c r="G116" i="3"/>
  <c r="H127" i="3"/>
  <c r="F104" i="3"/>
  <c r="E104" i="3"/>
  <c r="F93" i="3"/>
  <c r="E93" i="3"/>
  <c r="G104" i="3"/>
  <c r="G93" i="3"/>
  <c r="H104" i="3"/>
  <c r="H93" i="3"/>
  <c r="H63" i="3"/>
  <c r="F37" i="3"/>
  <c r="E37" i="3"/>
  <c r="F63" i="3" l="1"/>
  <c r="E63" i="3"/>
  <c r="E46" i="3"/>
  <c r="E45" i="3" s="1"/>
  <c r="H57" i="3"/>
  <c r="H56" i="3" s="1"/>
  <c r="H46" i="3"/>
  <c r="H45" i="3" s="1"/>
  <c r="G57" i="3"/>
  <c r="G56" i="3" s="1"/>
  <c r="G46" i="3"/>
  <c r="G45" i="3" s="1"/>
  <c r="F57" i="3"/>
  <c r="F56" i="3" s="1"/>
  <c r="F46" i="3"/>
  <c r="F45" i="3" s="1"/>
  <c r="E57" i="3"/>
  <c r="E56" i="3" s="1"/>
  <c r="E47" i="3" l="1"/>
  <c r="H47" i="3"/>
  <c r="H58" i="3"/>
  <c r="G47" i="3"/>
  <c r="G58" i="3"/>
  <c r="F47" i="3"/>
  <c r="F58" i="3"/>
  <c r="E58" i="3"/>
</calcChain>
</file>

<file path=xl/sharedStrings.xml><?xml version="1.0" encoding="utf-8"?>
<sst xmlns="http://schemas.openxmlformats.org/spreadsheetml/2006/main" count="5316" uniqueCount="261">
  <si>
    <t>Unit</t>
  </si>
  <si>
    <t>Beds</t>
  </si>
  <si>
    <t>Original Bed Type</t>
  </si>
  <si>
    <t>Attribute</t>
  </si>
  <si>
    <t>JHH</t>
  </si>
  <si>
    <t>CIR</t>
  </si>
  <si>
    <t>Rehab</t>
  </si>
  <si>
    <t>Existing</t>
  </si>
  <si>
    <t>EACU</t>
  </si>
  <si>
    <t>Observ</t>
  </si>
  <si>
    <t>Existing - Isolation</t>
  </si>
  <si>
    <t>Endoscopy (Z2)</t>
  </si>
  <si>
    <t>Endoscopy</t>
  </si>
  <si>
    <t>Procedure</t>
  </si>
  <si>
    <t>Bay with headwall and dividing walls</t>
  </si>
  <si>
    <t>Inpatient in Isolation Prep/Recovery Room</t>
  </si>
  <si>
    <t>Bay in existing Procedure</t>
  </si>
  <si>
    <t>Bay with headwall and no dividing side walls</t>
  </si>
  <si>
    <t>OB</t>
  </si>
  <si>
    <t>Acute</t>
  </si>
  <si>
    <t>OB-Covid L&amp;D</t>
  </si>
  <si>
    <t>WGB-4</t>
  </si>
  <si>
    <t>CCU (Z5W)</t>
  </si>
  <si>
    <t>ICU</t>
  </si>
  <si>
    <t>2nd bed in Private Room</t>
  </si>
  <si>
    <t>Meyer 8</t>
  </si>
  <si>
    <t>MICU (Z10E)</t>
  </si>
  <si>
    <t>MPC5</t>
  </si>
  <si>
    <t>IMC</t>
  </si>
  <si>
    <t>Nelson 3</t>
  </si>
  <si>
    <t>Nelson 4</t>
  </si>
  <si>
    <t>Nelson 6</t>
  </si>
  <si>
    <t>Nelson 7</t>
  </si>
  <si>
    <t>Nelson 8</t>
  </si>
  <si>
    <t>BCU</t>
  </si>
  <si>
    <t>PCCU (Z5S)</t>
  </si>
  <si>
    <t>12 East</t>
  </si>
  <si>
    <t>12 West</t>
  </si>
  <si>
    <t>BRU (Z12W)</t>
  </si>
  <si>
    <t>EMU (Z12E)</t>
  </si>
  <si>
    <t>NCCU(Z3W Cov)</t>
  </si>
  <si>
    <t>NCCU (Z3W)</t>
  </si>
  <si>
    <t>NIMC (Z12W)</t>
  </si>
  <si>
    <t>Construction-Beds in Vacated Private Inpatient Room</t>
  </si>
  <si>
    <t>Construction-Beds in Vacated Double Inpatient Room</t>
  </si>
  <si>
    <t xml:space="preserve">Nursery </t>
  </si>
  <si>
    <t>Nursery</t>
  </si>
  <si>
    <t>HEM</t>
  </si>
  <si>
    <t>WGA-4</t>
  </si>
  <si>
    <t>WGA-5</t>
  </si>
  <si>
    <t>WGB-5</t>
  </si>
  <si>
    <t>WGC-5</t>
  </si>
  <si>
    <t>WGD-5</t>
  </si>
  <si>
    <t>10 North</t>
  </si>
  <si>
    <t>10 South</t>
  </si>
  <si>
    <t>11 South</t>
  </si>
  <si>
    <t>12 South</t>
  </si>
  <si>
    <t>PICU</t>
  </si>
  <si>
    <t>9 North</t>
  </si>
  <si>
    <t>9 South</t>
  </si>
  <si>
    <t>NICU</t>
  </si>
  <si>
    <t>W3 PACU</t>
  </si>
  <si>
    <t>W3 OR</t>
  </si>
  <si>
    <t>Bays in existing OR (2 patients per OR)</t>
  </si>
  <si>
    <t>ZB5 OR</t>
  </si>
  <si>
    <t>JHOC PACU</t>
  </si>
  <si>
    <t>JHOC OR</t>
  </si>
  <si>
    <t>Meyer 3</t>
  </si>
  <si>
    <t>Meyer 4</t>
  </si>
  <si>
    <t>Meyer 5</t>
  </si>
  <si>
    <t>Meyer 6</t>
  </si>
  <si>
    <t>11 East</t>
  </si>
  <si>
    <t>11 West</t>
  </si>
  <si>
    <t>9 West</t>
  </si>
  <si>
    <t>CVPCU (Z10W)</t>
  </si>
  <si>
    <t>CVPCU-C(Z10W)</t>
  </si>
  <si>
    <t>CVSICU (Z5E)</t>
  </si>
  <si>
    <t>Marburg 2</t>
  </si>
  <si>
    <t>Marburg 3</t>
  </si>
  <si>
    <t>SICU (Z9E)</t>
  </si>
  <si>
    <t>WGA-3 (WICU)</t>
  </si>
  <si>
    <t>WGC-4</t>
  </si>
  <si>
    <t>Halsted 3</t>
  </si>
  <si>
    <t>Vacant</t>
  </si>
  <si>
    <t>Construction - Significant</t>
  </si>
  <si>
    <t>Osler 3</t>
  </si>
  <si>
    <t>Wilmer Prep/PACU</t>
  </si>
  <si>
    <t>Wilmer OR</t>
  </si>
  <si>
    <t>JHBMC</t>
  </si>
  <si>
    <t>Med A</t>
  </si>
  <si>
    <t>Med B</t>
  </si>
  <si>
    <t>Carol Ball</t>
  </si>
  <si>
    <t>East Surgery</t>
  </si>
  <si>
    <t>Wenz</t>
  </si>
  <si>
    <t>Burn Unit</t>
  </si>
  <si>
    <t>Neuro ICU</t>
  </si>
  <si>
    <t>Neuro</t>
  </si>
  <si>
    <t>GYN</t>
  </si>
  <si>
    <t>A2E (CDU)</t>
  </si>
  <si>
    <t>SICU</t>
  </si>
  <si>
    <t>MICU</t>
  </si>
  <si>
    <t>Cardiac ICU</t>
  </si>
  <si>
    <t>PCU</t>
  </si>
  <si>
    <t>PCU-IMC</t>
  </si>
  <si>
    <t>Observation</t>
  </si>
  <si>
    <t>A4 East</t>
  </si>
  <si>
    <t>Pre + Post Partum</t>
  </si>
  <si>
    <t>PACU</t>
  </si>
  <si>
    <t>Surgery Prep</t>
  </si>
  <si>
    <t>OR</t>
  </si>
  <si>
    <t>Bay in existing OR (2 patients per OR)</t>
  </si>
  <si>
    <t>Labor + Delivery</t>
  </si>
  <si>
    <t>Lakeside</t>
  </si>
  <si>
    <t>Chronic</t>
  </si>
  <si>
    <t>Chesapeake</t>
  </si>
  <si>
    <t>Plaza</t>
  </si>
  <si>
    <t>3rd bed in Double Room</t>
  </si>
  <si>
    <t>Tent Unit 1</t>
  </si>
  <si>
    <t>HCGH</t>
  </si>
  <si>
    <t>4 South</t>
  </si>
  <si>
    <t>4 Pavilion</t>
  </si>
  <si>
    <t>3 Pavilion</t>
  </si>
  <si>
    <t>2 Pavilion</t>
  </si>
  <si>
    <t>2 South</t>
  </si>
  <si>
    <t>SCU</t>
  </si>
  <si>
    <t>L&amp;D Isol</t>
  </si>
  <si>
    <t>NICU Isol</t>
  </si>
  <si>
    <t>MatChild</t>
  </si>
  <si>
    <t>MatChild Isol</t>
  </si>
  <si>
    <t>Main PACU</t>
  </si>
  <si>
    <t>Main Prep</t>
  </si>
  <si>
    <t>Echo Lab</t>
  </si>
  <si>
    <t>Multiple Bays in Open Area</t>
  </si>
  <si>
    <t>Classroom</t>
  </si>
  <si>
    <t>Rehab Gym</t>
  </si>
  <si>
    <t>Tent Unit 2</t>
  </si>
  <si>
    <t>Sibley</t>
  </si>
  <si>
    <t>5A Oncology</t>
  </si>
  <si>
    <t>5A Onc-Isol</t>
  </si>
  <si>
    <t>5B Telemetry</t>
  </si>
  <si>
    <t>5B Tel-Isol</t>
  </si>
  <si>
    <t>6A M/S</t>
  </si>
  <si>
    <t>6A M/S-Isol</t>
  </si>
  <si>
    <t>6A M/S Surge</t>
  </si>
  <si>
    <t>6B M/S</t>
  </si>
  <si>
    <t>6B M/S-Isol</t>
  </si>
  <si>
    <t>7A M/S</t>
  </si>
  <si>
    <t>7A M/S-Isol</t>
  </si>
  <si>
    <t>7A M/S Surge</t>
  </si>
  <si>
    <t>7B M/S-ICU</t>
  </si>
  <si>
    <t>7B M/S</t>
  </si>
  <si>
    <t>7B M/S-Isol</t>
  </si>
  <si>
    <t>ICU - Isol</t>
  </si>
  <si>
    <t>3A WIS</t>
  </si>
  <si>
    <t>3B WIS</t>
  </si>
  <si>
    <t>4A WIS</t>
  </si>
  <si>
    <t>4B WIS</t>
  </si>
  <si>
    <t>Behavioral Health</t>
  </si>
  <si>
    <t>Main OR</t>
  </si>
  <si>
    <t>2A/PACU</t>
  </si>
  <si>
    <t>Endo Pre/Post</t>
  </si>
  <si>
    <t>Emergency</t>
  </si>
  <si>
    <t>PACU-Retired</t>
  </si>
  <si>
    <t>02 M/S</t>
  </si>
  <si>
    <t>SH</t>
  </si>
  <si>
    <t>CDU 6400</t>
  </si>
  <si>
    <t>Onc 6300</t>
  </si>
  <si>
    <t>PCU 3200</t>
  </si>
  <si>
    <t>ICU 3400</t>
  </si>
  <si>
    <t>ICU 3100</t>
  </si>
  <si>
    <t>Med 3700</t>
  </si>
  <si>
    <t>Onc 2400</t>
  </si>
  <si>
    <t>Med 3800</t>
  </si>
  <si>
    <t>Surg 4800</t>
  </si>
  <si>
    <t>Surg 4700</t>
  </si>
  <si>
    <t>Peds</t>
  </si>
  <si>
    <t>Preop North</t>
  </si>
  <si>
    <t>PACU North</t>
  </si>
  <si>
    <t>Cath Rec North</t>
  </si>
  <si>
    <t>Cath Prep North</t>
  </si>
  <si>
    <t>Vacant 4300</t>
  </si>
  <si>
    <t>Vacant 4400</t>
  </si>
  <si>
    <t>Vacant 2200</t>
  </si>
  <si>
    <t>Vacant 2100</t>
  </si>
  <si>
    <t>PACU South</t>
  </si>
  <si>
    <t>Cath P/R South</t>
  </si>
  <si>
    <t>Visible</t>
  </si>
  <si>
    <t>COVID</t>
  </si>
  <si>
    <t>Available</t>
  </si>
  <si>
    <t>Non</t>
  </si>
  <si>
    <t>Baseline Type</t>
  </si>
  <si>
    <t>Baseline COVID Status</t>
  </si>
  <si>
    <t>Baseline Bed Adjust</t>
  </si>
  <si>
    <t>Ramp Up Type</t>
  </si>
  <si>
    <t>Ramp Up COVID Status</t>
  </si>
  <si>
    <t>Ramp Up Bed Adjust</t>
  </si>
  <si>
    <t>Surge Type</t>
  </si>
  <si>
    <t>Surge COVID Status</t>
  </si>
  <si>
    <t>Surge Bed Adjust</t>
  </si>
  <si>
    <t>Next Up Type</t>
  </si>
  <si>
    <t>Next Up COVID Status</t>
  </si>
  <si>
    <t>Next Up Bed Adjust</t>
  </si>
  <si>
    <t>Totals</t>
  </si>
  <si>
    <t>Facility</t>
  </si>
  <si>
    <t>Max Type</t>
  </si>
  <si>
    <t>Max COVID Status</t>
  </si>
  <si>
    <t>Max Bed Adjust</t>
  </si>
  <si>
    <t>Type</t>
  </si>
  <si>
    <t>Status</t>
  </si>
  <si>
    <t>Baseline</t>
  </si>
  <si>
    <t>Ramp Up</t>
  </si>
  <si>
    <t>Surge</t>
  </si>
  <si>
    <t>Next Up</t>
  </si>
  <si>
    <t>Max</t>
  </si>
  <si>
    <t>Total</t>
  </si>
  <si>
    <t>All</t>
  </si>
  <si>
    <t>Base</t>
  </si>
  <si>
    <t>Pointer</t>
  </si>
  <si>
    <t>PStart</t>
  </si>
  <si>
    <t>PEnd</t>
  </si>
  <si>
    <t>Max Label</t>
  </si>
  <si>
    <t>All Label</t>
  </si>
  <si>
    <t>Label</t>
  </si>
  <si>
    <t>Combined</t>
  </si>
  <si>
    <t>Observation (NP3)</t>
  </si>
  <si>
    <t>Modular Building</t>
  </si>
  <si>
    <t>Peds (NP4)</t>
  </si>
  <si>
    <t>COVID Physical Bed Capacity Planner</t>
  </si>
  <si>
    <t>1 North</t>
  </si>
  <si>
    <t>1 North Psych</t>
  </si>
  <si>
    <t>Meyer 9 (East)</t>
  </si>
  <si>
    <t>Meyer 9 (West)</t>
  </si>
  <si>
    <t>MICU Red (Z10E)</t>
  </si>
  <si>
    <t>ICU Covid</t>
  </si>
  <si>
    <t>ICU Non-Covid</t>
  </si>
  <si>
    <t>COVID Physical Bed Capacity Summary</t>
  </si>
  <si>
    <t>JHHS</t>
  </si>
  <si>
    <t>Select</t>
  </si>
  <si>
    <t>VisSum</t>
  </si>
  <si>
    <t>SIBLEY</t>
  </si>
  <si>
    <t>Onc 2400 ICU</t>
  </si>
  <si>
    <t>4 South-Covid</t>
  </si>
  <si>
    <t>CVSICU ECMO (Z5E)</t>
  </si>
  <si>
    <t>Existing- Isolation</t>
  </si>
  <si>
    <t>PCICU</t>
  </si>
  <si>
    <t>Crisis</t>
  </si>
  <si>
    <t>Crisis Label</t>
  </si>
  <si>
    <t>Psychiatry-12S</t>
  </si>
  <si>
    <t>Osler 5</t>
  </si>
  <si>
    <t>ZB5 Prep/PACU West</t>
  </si>
  <si>
    <t>ZB5 Prep/PACU East</t>
  </si>
  <si>
    <t>ZB3 Prep/PACU West</t>
  </si>
  <si>
    <t>ZB3 Prep/PACU East</t>
  </si>
  <si>
    <t>ZB3 OR West</t>
  </si>
  <si>
    <t>ZB3 OR East</t>
  </si>
  <si>
    <t>ZB4 Prep/PACU West</t>
  </si>
  <si>
    <t>ZB4 Prep/PACU East</t>
  </si>
  <si>
    <t>ZB4 OR West</t>
  </si>
  <si>
    <t>ZB4 OR East</t>
  </si>
  <si>
    <t>Crisis COVID Beds</t>
  </si>
  <si>
    <t>Reserve Non-COVID Beds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</si>
</sst>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0"/>
      <color theme="1"/>
      <name val="Century Gothic"/>
      <family val="2"/>
    </font>
    <font>
      <b/>
      <sz val="10"/>
      <color theme="1"/>
      <name val="Century Gothic"/>
      <family val="2"/>
    </font>
    <font>
      <b/>
      <sz val="24"/>
      <color theme="4"/>
      <name val="Century Gothic"/>
      <family val="2"/>
    </font>
    <font>
      <b/>
      <sz val="10"/>
      <color rgb="FFFF0000"/>
      <name val="Century Gothic"/>
      <family val="2"/>
    </font>
    <font>
      <b/>
      <sz val="12"/>
      <color theme="0"/>
      <name val="Century Gothic"/>
      <family val="2"/>
    </font>
    <font>
      <b/>
      <sz val="10"/>
      <color theme="1"/>
      <name val="Century Gothic"/>
    </font>
    <font>
      <b/>
      <sz val="10"/>
      <color rgb="FFA67B02"/>
      <name val="Century Gothic"/>
      <family val="2"/>
    </font>
    <font>
      <b/>
      <sz val="10"/>
      <color rgb="FFD60000"/>
      <name val="Century Gothic"/>
      <family val="2"/>
    </font>
    <font>
      <b/>
      <sz val="10"/>
      <color theme="0"/>
      <name val="Century Gothic"/>
    </font>
  </fonts>
  <fills count="8">
    <fill>
      <patternFill patternType="none"/>
    </fill>
    <fill>
      <patternFill patternType="gray125"/>
    </fill>
    <fill>
      <patternFill patternType="solid">
        <fgColor theme="8"/>
        <bgColor indexed="64"/>
      </patternFill>
    </fill>
    <fill>
      <patternFill patternType="solid">
        <fgColor theme="9"/>
        <bgColor indexed="64"/>
      </patternFill>
    </fill>
    <fill>
      <patternFill patternType="solid">
        <fgColor theme="7" tint="-0.499984740745262"/>
        <bgColor indexed="64"/>
      </patternFill>
    </fill>
    <fill>
      <patternFill patternType="solid">
        <fgColor theme="4"/>
        <bgColor indexed="64"/>
      </patternFill>
    </fill>
    <fill>
      <patternFill patternType="solid">
        <fgColor theme="0"/>
        <bgColor indexed="64"/>
      </patternFill>
    </fill>
    <fill>
      <patternFill patternType="solid">
        <fgColor theme="4" tint="-0.499984740745262"/>
        <bgColor indexed="64"/>
      </patternFill>
    </fill>
  </fills>
  <borders count="10">
    <border>
      <left/>
      <right/>
      <top/>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4" tint="-0.499984740745262"/>
      </left>
      <right/>
      <top/>
      <bottom/>
      <diagonal/>
    </border>
    <border>
      <left/>
      <right style="medium">
        <color theme="4" tint="-0.499984740745262"/>
      </right>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51">
    <xf numFmtId="0" fontId="0" fillId="0" borderId="0" xfId="0"/>
    <xf numFmtId="38" fontId="0" fillId="0" borderId="0" xfId="0" applyNumberFormat="1"/>
    <xf numFmtId="0" fontId="0" fillId="0" borderId="0" xfId="0" applyNumberFormat="1" applyAlignment="1">
      <alignment horizontal="center" vertical="center" wrapText="1"/>
    </xf>
    <xf numFmtId="38" fontId="0" fillId="0" borderId="0" xfId="0" applyNumberFormat="1" applyAlignment="1">
      <alignment horizontal="center"/>
    </xf>
    <xf numFmtId="38" fontId="0" fillId="0" borderId="0" xfId="0" applyNumberFormat="1" applyAlignment="1">
      <alignment horizontal="center" vertical="center"/>
    </xf>
    <xf numFmtId="38" fontId="0" fillId="0" borderId="0" xfId="0" applyNumberFormat="1" applyAlignment="1">
      <alignment horizontal="left" vertical="center"/>
    </xf>
    <xf numFmtId="0" fontId="0" fillId="2" borderId="0" xfId="0" applyNumberFormat="1" applyFill="1" applyAlignment="1">
      <alignment horizontal="center" vertical="center" wrapText="1"/>
    </xf>
    <xf numFmtId="0" fontId="0" fillId="3" borderId="0" xfId="0" applyNumberFormat="1" applyFill="1" applyAlignment="1">
      <alignment horizontal="center" vertical="center" wrapText="1"/>
    </xf>
    <xf numFmtId="0" fontId="0" fillId="4" borderId="0" xfId="0" applyNumberFormat="1" applyFill="1" applyAlignment="1">
      <alignment horizontal="center" vertical="center" wrapText="1"/>
    </xf>
    <xf numFmtId="38" fontId="1" fillId="0" borderId="0" xfId="0" applyNumberFormat="1" applyFon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38" fontId="2" fillId="0" borderId="0" xfId="0" applyNumberFormat="1" applyFont="1" applyAlignment="1">
      <alignment horizontal="left" vertical="center"/>
    </xf>
    <xf numFmtId="38" fontId="0" fillId="6" borderId="0" xfId="0" applyNumberFormat="1" applyFill="1" applyBorder="1"/>
    <xf numFmtId="38" fontId="0" fillId="6" borderId="0" xfId="0" applyNumberFormat="1" applyFill="1" applyBorder="1" applyAlignment="1">
      <alignment horizontal="center"/>
    </xf>
    <xf numFmtId="0" fontId="0" fillId="0" borderId="2" xfId="0" applyBorder="1"/>
    <xf numFmtId="38" fontId="0" fillId="0" borderId="2" xfId="0" applyNumberFormat="1" applyBorder="1" applyAlignment="1">
      <alignment horizontal="center" vertical="center"/>
    </xf>
    <xf numFmtId="38" fontId="0" fillId="0" borderId="3" xfId="0" applyNumberFormat="1" applyBorder="1" applyAlignment="1">
      <alignment horizontal="center" vertical="center"/>
    </xf>
    <xf numFmtId="0" fontId="0" fillId="0" borderId="0" xfId="0" applyBorder="1"/>
    <xf numFmtId="38" fontId="0" fillId="0" borderId="0" xfId="0" applyNumberFormat="1" applyBorder="1" applyAlignment="1">
      <alignment horizontal="center" vertical="center"/>
    </xf>
    <xf numFmtId="38" fontId="0" fillId="0" borderId="5" xfId="0" applyNumberFormat="1" applyBorder="1" applyAlignment="1">
      <alignment horizontal="center" vertical="center"/>
    </xf>
    <xf numFmtId="0" fontId="0" fillId="0" borderId="7" xfId="0" applyBorder="1"/>
    <xf numFmtId="38" fontId="0" fillId="0" borderId="7" xfId="0" applyNumberFormat="1" applyBorder="1" applyAlignment="1">
      <alignment horizontal="center" vertical="center"/>
    </xf>
    <xf numFmtId="38" fontId="0" fillId="0" borderId="8" xfId="0" applyNumberForma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0" fillId="0" borderId="0" xfId="0" applyAlignment="1">
      <alignment horizontal="left"/>
    </xf>
    <xf numFmtId="0" fontId="0" fillId="0" borderId="0" xfId="0" applyAlignment="1">
      <alignment vertical="center"/>
    </xf>
    <xf numFmtId="0" fontId="4" fillId="7" borderId="0" xfId="0" applyFont="1" applyFill="1" applyAlignment="1">
      <alignment horizontal="center" vertical="center" textRotation="90"/>
    </xf>
    <xf numFmtId="0" fontId="4" fillId="0" borderId="0" xfId="0" applyFont="1" applyFill="1" applyAlignment="1">
      <alignment horizontal="center" vertical="center" textRotation="90"/>
    </xf>
    <xf numFmtId="38" fontId="0" fillId="0" borderId="0" xfId="0" applyNumberFormat="1" applyAlignment="1" applyProtection="1">
      <alignment horizontal="center" vertical="center"/>
    </xf>
    <xf numFmtId="38" fontId="0" fillId="0" borderId="0" xfId="0" applyNumberFormat="1" applyFill="1" applyAlignment="1">
      <alignment horizontal="left" vertical="center"/>
    </xf>
    <xf numFmtId="38" fontId="0" fillId="0" borderId="0" xfId="0" applyNumberFormat="1" applyAlignment="1" applyProtection="1">
      <alignment horizontal="left" vertical="center"/>
    </xf>
    <xf numFmtId="0" fontId="0" fillId="0" borderId="0" xfId="0" applyFill="1" applyBorder="1"/>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38" fontId="5" fillId="0" borderId="0" xfId="0" applyNumberFormat="1" applyFont="1" applyAlignment="1">
      <alignment horizontal="center" vertical="center"/>
    </xf>
    <xf numFmtId="38" fontId="6" fillId="0" borderId="0" xfId="0" applyNumberFormat="1" applyFont="1"/>
    <xf numFmtId="38" fontId="7" fillId="0" borderId="0" xfId="0" applyNumberFormat="1" applyFont="1"/>
    <xf numFmtId="38" fontId="8" fillId="5" borderId="0" xfId="0" applyNumberFormat="1" applyFont="1" applyFill="1" applyAlignment="1">
      <alignment horizontal="center" vertical="center"/>
    </xf>
    <xf numFmtId="38" fontId="8" fillId="2" borderId="0" xfId="0" applyNumberFormat="1" applyFont="1" applyFill="1" applyAlignment="1">
      <alignment horizontal="center" vertical="center"/>
    </xf>
    <xf numFmtId="38" fontId="8" fillId="3" borderId="0" xfId="0" applyNumberFormat="1" applyFont="1" applyFill="1" applyAlignment="1">
      <alignment horizontal="center" vertical="center"/>
    </xf>
    <xf numFmtId="38" fontId="8" fillId="4" borderId="0" xfId="0" applyNumberFormat="1" applyFont="1" applyFill="1" applyAlignment="1">
      <alignment horizontal="center" vertical="center"/>
    </xf>
    <xf numFmtId="0" fontId="0" fillId="0" borderId="9" xfId="0" applyBorder="1" applyAlignment="1">
      <alignment horizontal="left"/>
    </xf>
  </cellXfs>
  <cellStyles count="1">
    <cellStyle name="Normal" xfId="0" builtinId="0"/>
  </cellStyles>
  <dxfs count="106">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numFmt numFmtId="6" formatCode="#,##0_);[Red]\(#,##0\)"/>
      <alignment horizontal="general"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left" vertical="center" textRotation="0" wrapText="0" indent="0" justifyLastLine="0" shrinkToFit="0" readingOrder="0"/>
    </dxf>
    <dxf>
      <numFmt numFmtId="6" formatCode="#,##0_);[Red]\(#,##0\)"/>
      <alignment horizontal="left"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left" vertical="center" textRotation="0" wrapText="0" indent="0" justifyLastLine="0" shrinkToFit="0" readingOrder="0"/>
    </dxf>
    <dxf>
      <numFmt numFmtId="6" formatCode="#,##0_);[Red]\(#,##0\)"/>
      <alignment horizontal="left"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left" vertical="center" textRotation="0" wrapText="0" indent="0" justifyLastLine="0" shrinkToFit="0" readingOrder="0"/>
    </dxf>
    <dxf>
      <numFmt numFmtId="6" formatCode="#,##0_);[Red]\(#,##0\)"/>
      <alignment horizontal="left"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general" vertical="center" textRotation="0" wrapText="0" indent="0" justifyLastLine="0" shrinkToFit="0" readingOrder="0"/>
    </dxf>
    <dxf>
      <numFmt numFmtId="6" formatCode="#,##0_);[Red]\(#,##0\)"/>
      <alignment horizontal="center" vertical="center" textRotation="0" wrapText="0" indent="0" justifyLastLine="0" shrinkToFit="0" readingOrder="0"/>
    </dxf>
    <dxf>
      <font>
        <b/>
      </font>
    </dxf>
    <dxf>
      <alignment horizontal="general" vertical="center" textRotation="0" wrapText="0" indent="0" justifyLastLine="0" shrinkToFit="0" readingOrder="0"/>
    </dxf>
    <dxf>
      <numFmt numFmtId="0" formatCode="General"/>
      <alignment horizontal="center" vertical="center" textRotation="0" wrapText="1" indent="0" justifyLastLine="0" shrinkToFit="0" readingOrder="0"/>
    </dxf>
    <dxf>
      <font>
        <color theme="0"/>
      </font>
      <fill>
        <patternFill>
          <bgColor theme="4" tint="0.39994506668294322"/>
        </patternFill>
      </fill>
    </dxf>
    <dxf>
      <font>
        <b/>
        <i val="0"/>
        <color theme="0"/>
      </font>
      <fill>
        <patternFill>
          <bgColor theme="4" tint="0.39994506668294322"/>
        </patternFill>
      </fill>
    </dxf>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alignment horizontal="center" vertical="center" textRotation="0" wrapText="0" indent="0" justifyLastLine="0" shrinkToFit="0" readingOrder="0"/>
    </dxf>
    <dxf>
      <font>
        <b/>
      </font>
    </dxf>
    <dxf>
      <alignment horizontal="center" vertical="center" textRotation="0" wrapText="0"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0"/>
        <color theme="0"/>
        <name val="Century Gothic"/>
        <scheme val="none"/>
      </font>
      <numFmt numFmtId="6" formatCode="#,##0_);[Red]\(#,##0\)"/>
      <fill>
        <patternFill patternType="solid">
          <fgColor indexed="64"/>
          <bgColor theme="7" tint="-0.499984740745262"/>
        </patternFill>
      </fill>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0"/>
        <name val="Century Gothic"/>
        <scheme val="none"/>
      </font>
      <numFmt numFmtId="6" formatCode="#,##0_);[Red]\(#,##0\)"/>
      <fill>
        <patternFill patternType="solid">
          <fgColor indexed="64"/>
          <bgColor theme="9"/>
        </patternFill>
      </fill>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0"/>
        <name val="Century Gothic"/>
        <scheme val="none"/>
      </font>
      <numFmt numFmtId="6" formatCode="#,##0_);[Red]\(#,##0\)"/>
      <fill>
        <patternFill patternType="solid">
          <fgColor indexed="64"/>
          <bgColor theme="8"/>
        </patternFill>
      </fill>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0"/>
        <name val="Century Gothic"/>
        <scheme val="none"/>
      </font>
      <numFmt numFmtId="6" formatCode="#,##0_);[Red]\(#,##0\)"/>
      <fill>
        <patternFill patternType="solid">
          <fgColor indexed="64"/>
          <bgColor theme="4"/>
        </patternFill>
      </fill>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numFmt numFmtId="6" formatCode="#,##0_);[Red]\(#,##0\)"/>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left" vertical="center" textRotation="0" wrapText="0" indent="0" justifyLastLine="0" shrinkToFit="0" readingOrder="0"/>
    </dxf>
    <dxf>
      <numFmt numFmtId="6" formatCode="#,##0_);[Red]\(#,##0\)"/>
      <alignment horizontal="left"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left" vertical="center" textRotation="0" wrapText="0" indent="0" justifyLastLine="0" shrinkToFit="0" readingOrder="0"/>
    </dxf>
    <dxf>
      <numFmt numFmtId="6" formatCode="#,##0_);[Red]\(#,##0\)"/>
      <alignment horizontal="left"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left" vertical="center" textRotation="0" wrapText="0" indent="0" justifyLastLine="0" shrinkToFit="0" readingOrder="0"/>
    </dxf>
    <dxf>
      <numFmt numFmtId="6" formatCode="#,##0_);[Red]\(#,##0\)"/>
      <alignment horizontal="left" vertical="center" textRotation="0" wrapText="0" indent="0" justifyLastLine="0" shrinkToFit="0" readingOrder="0"/>
    </dxf>
    <dxf>
      <font>
        <b/>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numFmt numFmtId="6" formatCode="#,##0_);[Red]\(#,##0\)"/>
      <alignment horizontal="center" vertical="center" textRotation="0" wrapText="0" indent="0" justifyLastLine="0" shrinkToFit="0" readingOrder="0"/>
    </dxf>
    <dxf>
      <font>
        <b/>
      </font>
    </dxf>
    <dxf>
      <alignment horizontal="general" vertical="center" textRotation="0" wrapText="0" indent="0" justifyLastLine="0" shrinkToFit="0" readingOrder="0"/>
    </dxf>
    <dxf>
      <numFmt numFmtId="0" formatCode="General"/>
      <alignment horizontal="center" vertical="center" textRotation="0" wrapText="1" indent="0" justifyLastLine="0" shrinkToFit="0" readingOrder="0"/>
    </dxf>
    <dxf>
      <font>
        <b/>
        <i val="0"/>
        <color rgb="FFA67B02"/>
      </font>
    </dxf>
    <dxf>
      <font>
        <b/>
        <i val="0"/>
        <color rgb="FFD60000"/>
      </font>
      <fill>
        <patternFill patternType="none">
          <bgColor auto="1"/>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ill>
        <patternFill>
          <bgColor rgb="FFCCCCFF"/>
        </patternFill>
      </fill>
    </dxf>
    <dxf>
      <font>
        <b/>
        <color theme="1"/>
      </font>
      <border>
        <bottom style="thin">
          <color theme="7"/>
        </bottom>
        <vertical/>
        <horizontal/>
      </border>
    </dxf>
    <dxf>
      <font>
        <sz val="10"/>
        <color theme="1"/>
        <name val="Century Gothic"/>
        <scheme val="none"/>
      </font>
      <border>
        <left style="thin">
          <color theme="7"/>
        </left>
        <right style="thin">
          <color theme="7"/>
        </right>
        <top style="thin">
          <color theme="7"/>
        </top>
        <bottom style="thin">
          <color theme="7"/>
        </bottom>
        <vertical/>
        <horizontal/>
      </border>
    </dxf>
    <dxf>
      <font>
        <b/>
        <color theme="1"/>
      </font>
      <border>
        <bottom style="thin">
          <color theme="4"/>
        </bottom>
        <vertical/>
        <horizontal/>
      </border>
    </dxf>
    <dxf>
      <font>
        <sz val="10"/>
        <color theme="1"/>
        <name val="Century Gothic"/>
        <scheme val="none"/>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pivot="0" table="0" count="10" xr9:uid="{00000000-0011-0000-FFFF-FFFF00000000}">
      <tableStyleElement type="wholeTable" dxfId="105"/>
      <tableStyleElement type="headerRow" dxfId="104"/>
    </tableStyle>
    <tableStyle name="SlicerStyleDark4 2" pivot="0" table="0" count="10" xr9:uid="{00000000-0011-0000-FFFF-FFFF01000000}">
      <tableStyleElement type="wholeTable" dxfId="103"/>
      <tableStyleElement type="headerRow" dxfId="102"/>
    </tableStyle>
  </tableStyles>
  <colors>
    <mruColors>
      <color rgb="FFD60000"/>
      <color rgb="FFA67B02"/>
      <color rgb="FFBA8A02"/>
      <color rgb="FFCC0000"/>
      <color rgb="FFFF7619"/>
      <color rgb="FFFF6600"/>
      <color rgb="FFCCCCFF"/>
      <color rgb="FFFFCC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tint="-0.24994659260841701"/>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07/relationships/slicerCache" Target="slicerCaches/slicerCache12.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0.xml"/><Relationship Id="rId20" Type="http://schemas.microsoft.com/office/2007/relationships/slicerCache" Target="slicerCaches/slicerCache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9.xml"/><Relationship Id="rId23" Type="http://schemas.openxmlformats.org/officeDocument/2006/relationships/sharedStrings" Target="sharedStrings.xml"/><Relationship Id="rId10" Type="http://schemas.microsoft.com/office/2007/relationships/slicerCache" Target="slicerCaches/slicerCache4.xml"/><Relationship Id="rId19" Type="http://schemas.microsoft.com/office/2007/relationships/slicerCache" Target="slicerCaches/slicerCache13.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styles" Target="styl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25.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26.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27.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28.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themeOverride" Target="../theme/themeOverride29.xml"/><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themeOverride" Target="../theme/themeOverride30.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31.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32.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themeOverride" Target="../theme/themeOverride33.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themeOverride" Target="../theme/themeOverride34.xml"/><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35.xml"/><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3" Type="http://schemas.openxmlformats.org/officeDocument/2006/relationships/themeOverride" Target="../theme/themeOverride36.xml"/><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3" Type="http://schemas.openxmlformats.org/officeDocument/2006/relationships/themeOverride" Target="../theme/themeOverride37.xml"/><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3" Type="http://schemas.openxmlformats.org/officeDocument/2006/relationships/themeOverride" Target="../theme/themeOverride38.xml"/><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3" Type="http://schemas.openxmlformats.org/officeDocument/2006/relationships/themeOverride" Target="../theme/themeOverride39.xml"/><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3" Type="http://schemas.openxmlformats.org/officeDocument/2006/relationships/themeOverride" Target="../theme/themeOverride40.xml"/><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3" Type="http://schemas.openxmlformats.org/officeDocument/2006/relationships/themeOverride" Target="../theme/themeOverride41.xml"/><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3" Type="http://schemas.openxmlformats.org/officeDocument/2006/relationships/themeOverride" Target="../theme/themeOverride42.xml"/><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3" Type="http://schemas.openxmlformats.org/officeDocument/2006/relationships/themeOverride" Target="../theme/themeOverride43.xml"/><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3" Type="http://schemas.openxmlformats.org/officeDocument/2006/relationships/themeOverride" Target="../theme/themeOverride44.xml"/><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3" Type="http://schemas.openxmlformats.org/officeDocument/2006/relationships/themeOverride" Target="../theme/themeOverride45.xml"/><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3" Type="http://schemas.openxmlformats.org/officeDocument/2006/relationships/themeOverride" Target="../theme/themeOverride46.xml"/><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3" Type="http://schemas.openxmlformats.org/officeDocument/2006/relationships/themeOverride" Target="../theme/themeOverride47.xml"/><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3" Type="http://schemas.openxmlformats.org/officeDocument/2006/relationships/themeOverride" Target="../theme/themeOverride48.xml"/><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lumMod val="50000"/>
              </a:schemeClr>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lumMod val="50000"/>
                </a:schemeClr>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9F6-427F-8878-FFF881113A9E}"/>
              </c:ext>
            </c:extLst>
          </c:dPt>
          <c:dPt>
            <c:idx val="1"/>
            <c:bubble3D val="0"/>
            <c:spPr>
              <a:pattFill prst="pct25">
                <a:fgClr>
                  <a:srgbClr val="002D72">
                    <a:lumMod val="50000"/>
                  </a:srgbClr>
                </a:fgClr>
                <a:bgClr>
                  <a:sysClr val="window" lastClr="FFFFFF"/>
                </a:bgClr>
              </a:patt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9F6-427F-8878-FFF881113A9E}"/>
              </c:ext>
            </c:extLst>
          </c:dPt>
          <c:dPt>
            <c:idx val="2"/>
            <c:bubble3D val="0"/>
            <c:spPr>
              <a:solidFill>
                <a:schemeClr val="bg1"/>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99F6-427F-8878-FFF881113A9E}"/>
              </c:ext>
            </c:extLst>
          </c:dPt>
          <c:dPt>
            <c:idx val="3"/>
            <c:bubble3D val="0"/>
            <c:spPr>
              <a:noFill/>
              <a:ln w="19050">
                <a:noFill/>
              </a:ln>
              <a:effectLst/>
            </c:spPr>
            <c:extLst>
              <c:ext xmlns:c16="http://schemas.microsoft.com/office/drawing/2014/chart" uri="{C3380CC4-5D6E-409C-BE32-E72D297353CC}">
                <c16:uniqueId val="{00000007-E630-4460-B55A-7667098E94A3}"/>
              </c:ext>
            </c:extLst>
          </c:dPt>
          <c:cat>
            <c:strRef>
              <c:f>Chart!$D$45:$D$47</c:f>
              <c:strCache>
                <c:ptCount val="3"/>
                <c:pt idx="0">
                  <c:v>PStart</c:v>
                </c:pt>
                <c:pt idx="1">
                  <c:v>Pointer</c:v>
                </c:pt>
                <c:pt idx="2">
                  <c:v>PEnd</c:v>
                </c:pt>
              </c:strCache>
            </c:strRef>
          </c:cat>
          <c:val>
            <c:numRef>
              <c:f>Chart!$E$87:$E$90</c:f>
              <c:numCache>
                <c:formatCode>#,##0_);[Red]\(#,##0\)</c:formatCode>
                <c:ptCount val="4"/>
                <c:pt idx="0">
                  <c:v>40</c:v>
                </c:pt>
                <c:pt idx="1">
                  <c:v>0</c:v>
                </c:pt>
                <c:pt idx="2">
                  <c:v>39</c:v>
                </c:pt>
                <c:pt idx="3">
                  <c:v>79</c:v>
                </c:pt>
              </c:numCache>
            </c:numRef>
          </c:val>
          <c:extLst>
            <c:ext xmlns:c16="http://schemas.microsoft.com/office/drawing/2014/chart" uri="{C3380CC4-5D6E-409C-BE32-E72D297353CC}">
              <c16:uniqueId val="{00000006-99F6-427F-8878-FFF881113A9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99F6-427F-8878-FFF881113A9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99F6-427F-8878-FFF881113A9E}"/>
              </c:ext>
            </c:extLst>
          </c:dPt>
          <c:dPt>
            <c:idx val="2"/>
            <c:bubble3D val="0"/>
            <c:spPr>
              <a:noFill/>
              <a:ln w="19050">
                <a:noFill/>
              </a:ln>
              <a:effectLst/>
            </c:spPr>
            <c:extLst>
              <c:ext xmlns:c16="http://schemas.microsoft.com/office/drawing/2014/chart" uri="{C3380CC4-5D6E-409C-BE32-E72D297353CC}">
                <c16:uniqueId val="{0000000C-99F6-427F-8878-FFF881113A9E}"/>
              </c:ext>
            </c:extLst>
          </c:dPt>
          <c:cat>
            <c:strRef>
              <c:f>Chart!$D$45:$D$47</c:f>
              <c:strCache>
                <c:ptCount val="3"/>
                <c:pt idx="0">
                  <c:v>PStart</c:v>
                </c:pt>
                <c:pt idx="1">
                  <c:v>Pointer</c:v>
                </c:pt>
                <c:pt idx="2">
                  <c:v>PEnd</c:v>
                </c:pt>
              </c:strCache>
            </c:strRef>
          </c:cat>
          <c:val>
            <c:numRef>
              <c:f>Chart!$E$91:$E$93</c:f>
              <c:numCache>
                <c:formatCode>#,##0_);[Red]\(#,##0\)</c:formatCode>
                <c:ptCount val="3"/>
                <c:pt idx="0">
                  <c:v>15.407500000000001</c:v>
                </c:pt>
                <c:pt idx="1">
                  <c:v>1.1850000000000001</c:v>
                </c:pt>
                <c:pt idx="2">
                  <c:v>141.4075</c:v>
                </c:pt>
              </c:numCache>
            </c:numRef>
          </c:val>
          <c:extLst>
            <c:ext xmlns:c16="http://schemas.microsoft.com/office/drawing/2014/chart" uri="{C3380CC4-5D6E-409C-BE32-E72D297353CC}">
              <c16:uniqueId val="{0000000D-99F6-427F-8878-FFF881113A9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8F8B-4853-B9DC-D2795AD4AB62}"/>
              </c:ext>
            </c:extLst>
          </c:dPt>
          <c:dPt>
            <c:idx val="1"/>
            <c:bubble3D val="0"/>
            <c:spPr>
              <a:pattFill prst="pct25">
                <a:fgClr>
                  <a:srgbClr val="002D72"/>
                </a:fgClr>
                <a:bgClr>
                  <a:sysClr val="window" lastClr="FFFFFF"/>
                </a:bgClr>
              </a:patt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8F8B-4853-B9DC-D2795AD4AB62}"/>
              </c:ext>
            </c:extLst>
          </c:dPt>
          <c:dPt>
            <c:idx val="2"/>
            <c:bubble3D val="0"/>
            <c:spPr>
              <a:solidFill>
                <a:schemeClr val="bg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8F8B-4853-B9DC-D2795AD4AB62}"/>
              </c:ext>
            </c:extLst>
          </c:dPt>
          <c:dPt>
            <c:idx val="3"/>
            <c:bubble3D val="0"/>
            <c:spPr>
              <a:noFill/>
              <a:ln w="19050">
                <a:noFill/>
              </a:ln>
              <a:effectLst/>
            </c:spPr>
            <c:extLst>
              <c:ext xmlns:c16="http://schemas.microsoft.com/office/drawing/2014/chart" uri="{C3380CC4-5D6E-409C-BE32-E72D297353CC}">
                <c16:uniqueId val="{00000007-636D-4001-9653-AD91084BFE57}"/>
              </c:ext>
            </c:extLst>
          </c:dPt>
          <c:cat>
            <c:strRef>
              <c:f>Chart!$D$45:$D$47</c:f>
              <c:strCache>
                <c:ptCount val="3"/>
                <c:pt idx="0">
                  <c:v>PStart</c:v>
                </c:pt>
                <c:pt idx="1">
                  <c:v>Pointer</c:v>
                </c:pt>
                <c:pt idx="2">
                  <c:v>PEnd</c:v>
                </c:pt>
              </c:strCache>
            </c:strRef>
          </c:cat>
          <c:val>
            <c:numRef>
              <c:f>Chart!$E$98:$E$101</c:f>
              <c:numCache>
                <c:formatCode>#,##0_);[Red]\(#,##0\)</c:formatCode>
                <c:ptCount val="4"/>
                <c:pt idx="0">
                  <c:v>143</c:v>
                </c:pt>
                <c:pt idx="1">
                  <c:v>0</c:v>
                </c:pt>
                <c:pt idx="2">
                  <c:v>79</c:v>
                </c:pt>
                <c:pt idx="3">
                  <c:v>222</c:v>
                </c:pt>
              </c:numCache>
            </c:numRef>
          </c:val>
          <c:extLst>
            <c:ext xmlns:c16="http://schemas.microsoft.com/office/drawing/2014/chart" uri="{C3380CC4-5D6E-409C-BE32-E72D297353CC}">
              <c16:uniqueId val="{00000006-8F8B-4853-B9DC-D2795AD4AB62}"/>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8F8B-4853-B9DC-D2795AD4AB62}"/>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8F8B-4853-B9DC-D2795AD4AB62}"/>
              </c:ext>
            </c:extLst>
          </c:dPt>
          <c:dPt>
            <c:idx val="2"/>
            <c:bubble3D val="0"/>
            <c:spPr>
              <a:noFill/>
              <a:ln w="19050">
                <a:noFill/>
              </a:ln>
              <a:effectLst/>
            </c:spPr>
            <c:extLst>
              <c:ext xmlns:c16="http://schemas.microsoft.com/office/drawing/2014/chart" uri="{C3380CC4-5D6E-409C-BE32-E72D297353CC}">
                <c16:uniqueId val="{0000000C-8F8B-4853-B9DC-D2795AD4AB62}"/>
              </c:ext>
            </c:extLst>
          </c:dPt>
          <c:cat>
            <c:strRef>
              <c:f>Chart!$D$45:$D$47</c:f>
              <c:strCache>
                <c:ptCount val="3"/>
                <c:pt idx="0">
                  <c:v>PStart</c:v>
                </c:pt>
                <c:pt idx="1">
                  <c:v>Pointer</c:v>
                </c:pt>
                <c:pt idx="2">
                  <c:v>PEnd</c:v>
                </c:pt>
              </c:strCache>
            </c:strRef>
          </c:cat>
          <c:val>
            <c:numRef>
              <c:f>Chart!$E$102:$E$104</c:f>
              <c:numCache>
                <c:formatCode>#,##0_);[Red]\(#,##0\)</c:formatCode>
                <c:ptCount val="3"/>
                <c:pt idx="0">
                  <c:v>57.335000000000001</c:v>
                </c:pt>
                <c:pt idx="1">
                  <c:v>3.33</c:v>
                </c:pt>
                <c:pt idx="2">
                  <c:v>383.33499999999998</c:v>
                </c:pt>
              </c:numCache>
            </c:numRef>
          </c:val>
          <c:extLst>
            <c:ext xmlns:c16="http://schemas.microsoft.com/office/drawing/2014/chart" uri="{C3380CC4-5D6E-409C-BE32-E72D297353CC}">
              <c16:uniqueId val="{0000000D-8F8B-4853-B9DC-D2795AD4AB6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rgbClr val="F1C400">
                <a:lumMod val="50000"/>
              </a:srgbClr>
            </a:solidFill>
            <a:ln w="19050">
              <a:solidFill>
                <a:srgbClr val="F1C400">
                  <a:lumMod val="50000"/>
                </a:srgbClr>
              </a:solidFill>
            </a:ln>
          </c:spPr>
          <c:dPt>
            <c:idx val="0"/>
            <c:bubble3D val="0"/>
            <c:spPr>
              <a:solidFill>
                <a:srgbClr val="F1C400">
                  <a:lumMod val="50000"/>
                </a:srgbClr>
              </a:solidFill>
              <a:ln w="19050">
                <a:solidFill>
                  <a:srgbClr val="F1C400">
                    <a:lumMod val="50000"/>
                  </a:srgb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7C1-41EA-A85C-C21B3CBF501C}"/>
              </c:ext>
            </c:extLst>
          </c:dPt>
          <c:dPt>
            <c:idx val="1"/>
            <c:bubble3D val="0"/>
            <c:spPr>
              <a:pattFill prst="pct25">
                <a:fgClr>
                  <a:srgbClr val="F1C400">
                    <a:lumMod val="50000"/>
                  </a:srgbClr>
                </a:fgClr>
                <a:bgClr>
                  <a:sysClr val="window" lastClr="FFFFFF"/>
                </a:bgClr>
              </a:pattFill>
              <a:ln w="19050">
                <a:solidFill>
                  <a:srgbClr val="F1C400">
                    <a:lumMod val="50000"/>
                  </a:srgb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7C1-41EA-A85C-C21B3CBF501C}"/>
              </c:ext>
            </c:extLst>
          </c:dPt>
          <c:dPt>
            <c:idx val="2"/>
            <c:bubble3D val="0"/>
            <c:spPr>
              <a:noFill/>
              <a:ln w="19050">
                <a:solidFill>
                  <a:srgbClr val="F1C400">
                    <a:lumMod val="50000"/>
                  </a:srgb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E7C1-41EA-A85C-C21B3CBF501C}"/>
              </c:ext>
            </c:extLst>
          </c:dPt>
          <c:dPt>
            <c:idx val="3"/>
            <c:bubble3D val="0"/>
            <c:spPr>
              <a:noFill/>
              <a:ln w="19050">
                <a:noFill/>
              </a:ln>
              <a:effectLst/>
            </c:spPr>
            <c:extLst>
              <c:ext xmlns:c16="http://schemas.microsoft.com/office/drawing/2014/chart" uri="{C3380CC4-5D6E-409C-BE32-E72D297353CC}">
                <c16:uniqueId val="{0000000C-8D3E-4520-B76F-879FE7F397EB}"/>
              </c:ext>
            </c:extLst>
          </c:dPt>
          <c:cat>
            <c:strRef>
              <c:f>Chart!$D$45:$D$47</c:f>
              <c:strCache>
                <c:ptCount val="3"/>
                <c:pt idx="0">
                  <c:v>PStart</c:v>
                </c:pt>
                <c:pt idx="1">
                  <c:v>Pointer</c:v>
                </c:pt>
                <c:pt idx="2">
                  <c:v>PEnd</c:v>
                </c:pt>
              </c:strCache>
            </c:strRef>
          </c:cat>
          <c:val>
            <c:numRef>
              <c:f>Chart!$F$87:$F$90</c:f>
              <c:numCache>
                <c:formatCode>#,##0_);[Red]\(#,##0\)</c:formatCode>
                <c:ptCount val="4"/>
                <c:pt idx="0">
                  <c:v>40</c:v>
                </c:pt>
                <c:pt idx="1">
                  <c:v>0</c:v>
                </c:pt>
                <c:pt idx="2">
                  <c:v>39</c:v>
                </c:pt>
                <c:pt idx="3">
                  <c:v>79</c:v>
                </c:pt>
              </c:numCache>
            </c:numRef>
          </c:val>
          <c:extLst>
            <c:ext xmlns:c16="http://schemas.microsoft.com/office/drawing/2014/chart" uri="{C3380CC4-5D6E-409C-BE32-E72D297353CC}">
              <c16:uniqueId val="{00000006-E7C1-41EA-A85C-C21B3CBF501C}"/>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E7C1-41EA-A85C-C21B3CBF501C}"/>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E7C1-41EA-A85C-C21B3CBF501C}"/>
              </c:ext>
            </c:extLst>
          </c:dPt>
          <c:dPt>
            <c:idx val="2"/>
            <c:bubble3D val="0"/>
            <c:spPr>
              <a:noFill/>
              <a:ln w="19050">
                <a:noFill/>
              </a:ln>
              <a:effectLst/>
            </c:spPr>
            <c:extLst>
              <c:ext xmlns:c16="http://schemas.microsoft.com/office/drawing/2014/chart" uri="{C3380CC4-5D6E-409C-BE32-E72D297353CC}">
                <c16:uniqueId val="{0000000C-E7C1-41EA-A85C-C21B3CBF501C}"/>
              </c:ext>
            </c:extLst>
          </c:dPt>
          <c:cat>
            <c:strRef>
              <c:f>Chart!$D$45:$D$47</c:f>
              <c:strCache>
                <c:ptCount val="3"/>
                <c:pt idx="0">
                  <c:v>PStart</c:v>
                </c:pt>
                <c:pt idx="1">
                  <c:v>Pointer</c:v>
                </c:pt>
                <c:pt idx="2">
                  <c:v>PEnd</c:v>
                </c:pt>
              </c:strCache>
            </c:strRef>
          </c:cat>
          <c:val>
            <c:numRef>
              <c:f>Chart!$F$91:$F$93</c:f>
              <c:numCache>
                <c:formatCode>#,##0_);[Red]\(#,##0\)</c:formatCode>
                <c:ptCount val="3"/>
                <c:pt idx="0">
                  <c:v>15.407500000000001</c:v>
                </c:pt>
                <c:pt idx="1">
                  <c:v>1.1850000000000001</c:v>
                </c:pt>
                <c:pt idx="2">
                  <c:v>141.4075</c:v>
                </c:pt>
              </c:numCache>
            </c:numRef>
          </c:val>
          <c:extLst>
            <c:ext xmlns:c16="http://schemas.microsoft.com/office/drawing/2014/chart" uri="{C3380CC4-5D6E-409C-BE32-E72D297353CC}">
              <c16:uniqueId val="{0000000D-E7C1-41EA-A85C-C21B3CBF501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solidFill>
            <a:ln>
              <a:solidFill>
                <a:schemeClr val="accent5"/>
              </a:solidFill>
            </a:ln>
            <a:effectLst>
              <a:outerShdw blurRad="50800" dist="38100" dir="8100000" algn="tr" rotWithShape="0">
                <a:prstClr val="black">
                  <a:alpha val="40000"/>
                </a:prstClr>
              </a:outerShdw>
            </a:effectLst>
          </c:spPr>
          <c:dPt>
            <c:idx val="0"/>
            <c:bubble3D val="0"/>
            <c:spPr>
              <a:solidFill>
                <a:schemeClr val="accent5"/>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F16-4B89-9ED8-A7138BC9168E}"/>
              </c:ext>
            </c:extLst>
          </c:dPt>
          <c:dPt>
            <c:idx val="1"/>
            <c:bubble3D val="0"/>
            <c:spPr>
              <a:pattFill prst="pct25">
                <a:fgClr>
                  <a:srgbClr val="F1C400"/>
                </a:fgClr>
                <a:bgClr>
                  <a:sysClr val="window" lastClr="FFFFFF"/>
                </a:bgClr>
              </a:patt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F16-4B89-9ED8-A7138BC9168E}"/>
              </c:ext>
            </c:extLst>
          </c:dPt>
          <c:dPt>
            <c:idx val="2"/>
            <c:bubble3D val="0"/>
            <c:spPr>
              <a:solidFill>
                <a:schemeClr val="bg1"/>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2F16-4B89-9ED8-A7138BC9168E}"/>
              </c:ext>
            </c:extLst>
          </c:dPt>
          <c:dPt>
            <c:idx val="3"/>
            <c:bubble3D val="0"/>
            <c:spPr>
              <a:noFill/>
              <a:ln w="19050">
                <a:noFill/>
              </a:ln>
              <a:effectLst/>
            </c:spPr>
            <c:extLst>
              <c:ext xmlns:c16="http://schemas.microsoft.com/office/drawing/2014/chart" uri="{C3380CC4-5D6E-409C-BE32-E72D297353CC}">
                <c16:uniqueId val="{00000007-D88E-4140-A16A-DB0E8DBCDAAE}"/>
              </c:ext>
            </c:extLst>
          </c:dPt>
          <c:cat>
            <c:strRef>
              <c:f>Chart!$D$45:$D$47</c:f>
              <c:strCache>
                <c:ptCount val="3"/>
                <c:pt idx="0">
                  <c:v>PStart</c:v>
                </c:pt>
                <c:pt idx="1">
                  <c:v>Pointer</c:v>
                </c:pt>
                <c:pt idx="2">
                  <c:v>PEnd</c:v>
                </c:pt>
              </c:strCache>
            </c:strRef>
          </c:cat>
          <c:val>
            <c:numRef>
              <c:f>Chart!$F$98:$F$101</c:f>
              <c:numCache>
                <c:formatCode>#,##0_);[Red]\(#,##0\)</c:formatCode>
                <c:ptCount val="4"/>
                <c:pt idx="0">
                  <c:v>143</c:v>
                </c:pt>
                <c:pt idx="1">
                  <c:v>0</c:v>
                </c:pt>
                <c:pt idx="2">
                  <c:v>79</c:v>
                </c:pt>
                <c:pt idx="3">
                  <c:v>222</c:v>
                </c:pt>
              </c:numCache>
            </c:numRef>
          </c:val>
          <c:extLst>
            <c:ext xmlns:c16="http://schemas.microsoft.com/office/drawing/2014/chart" uri="{C3380CC4-5D6E-409C-BE32-E72D297353CC}">
              <c16:uniqueId val="{00000006-2F16-4B89-9ED8-A7138BC9168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2F16-4B89-9ED8-A7138BC9168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F16-4B89-9ED8-A7138BC9168E}"/>
              </c:ext>
            </c:extLst>
          </c:dPt>
          <c:dPt>
            <c:idx val="2"/>
            <c:bubble3D val="0"/>
            <c:spPr>
              <a:noFill/>
              <a:ln w="19050">
                <a:noFill/>
              </a:ln>
              <a:effectLst/>
            </c:spPr>
            <c:extLst>
              <c:ext xmlns:c16="http://schemas.microsoft.com/office/drawing/2014/chart" uri="{C3380CC4-5D6E-409C-BE32-E72D297353CC}">
                <c16:uniqueId val="{0000000C-2F16-4B89-9ED8-A7138BC9168E}"/>
              </c:ext>
            </c:extLst>
          </c:dPt>
          <c:cat>
            <c:strRef>
              <c:f>Chart!$D$45:$D$47</c:f>
              <c:strCache>
                <c:ptCount val="3"/>
                <c:pt idx="0">
                  <c:v>PStart</c:v>
                </c:pt>
                <c:pt idx="1">
                  <c:v>Pointer</c:v>
                </c:pt>
                <c:pt idx="2">
                  <c:v>PEnd</c:v>
                </c:pt>
              </c:strCache>
            </c:strRef>
          </c:cat>
          <c:val>
            <c:numRef>
              <c:f>Chart!$F$102:$F$104</c:f>
              <c:numCache>
                <c:formatCode>#,##0_);[Red]\(#,##0\)</c:formatCode>
                <c:ptCount val="3"/>
                <c:pt idx="0">
                  <c:v>87.334999999999994</c:v>
                </c:pt>
                <c:pt idx="1">
                  <c:v>3.33</c:v>
                </c:pt>
                <c:pt idx="2">
                  <c:v>353.33500000000004</c:v>
                </c:pt>
              </c:numCache>
            </c:numRef>
          </c:val>
          <c:extLst>
            <c:ext xmlns:c16="http://schemas.microsoft.com/office/drawing/2014/chart" uri="{C3380CC4-5D6E-409C-BE32-E72D297353CC}">
              <c16:uniqueId val="{0000000D-2F16-4B89-9ED8-A7138BC9168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rgbClr val="76232F"/>
            </a:solidFill>
            <a:ln>
              <a:solidFill>
                <a:srgbClr val="76232F"/>
              </a:solidFill>
            </a:ln>
          </c:spPr>
          <c:dPt>
            <c:idx val="0"/>
            <c:bubble3D val="0"/>
            <c:spPr>
              <a:solidFill>
                <a:srgbClr val="76232F"/>
              </a:solidFill>
              <a:ln w="19050">
                <a:solidFill>
                  <a:srgbClr val="76232F"/>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869-49EB-8C1F-9C99189592E8}"/>
              </c:ext>
            </c:extLst>
          </c:dPt>
          <c:dPt>
            <c:idx val="1"/>
            <c:bubble3D val="0"/>
            <c:spPr>
              <a:pattFill prst="pct25">
                <a:fgClr>
                  <a:srgbClr val="76232F"/>
                </a:fgClr>
                <a:bgClr>
                  <a:sysClr val="window" lastClr="FFFFFF"/>
                </a:bgClr>
              </a:pattFill>
              <a:ln w="19050">
                <a:solidFill>
                  <a:srgbClr val="76232F"/>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869-49EB-8C1F-9C99189592E8}"/>
              </c:ext>
            </c:extLst>
          </c:dPt>
          <c:dPt>
            <c:idx val="2"/>
            <c:bubble3D val="0"/>
            <c:spPr>
              <a:noFill/>
              <a:ln w="19050">
                <a:solidFill>
                  <a:srgbClr val="76232F"/>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C869-49EB-8C1F-9C99189592E8}"/>
              </c:ext>
            </c:extLst>
          </c:dPt>
          <c:dPt>
            <c:idx val="3"/>
            <c:bubble3D val="0"/>
            <c:spPr>
              <a:noFill/>
              <a:ln w="19050">
                <a:noFill/>
              </a:ln>
              <a:effectLst/>
            </c:spPr>
            <c:extLst>
              <c:ext xmlns:c16="http://schemas.microsoft.com/office/drawing/2014/chart" uri="{C3380CC4-5D6E-409C-BE32-E72D297353CC}">
                <c16:uniqueId val="{0000000C-3EEF-48F5-A0F5-C2B4B0C3C1AE}"/>
              </c:ext>
            </c:extLst>
          </c:dPt>
          <c:cat>
            <c:strRef>
              <c:f>Chart!$D$45:$D$47</c:f>
              <c:strCache>
                <c:ptCount val="3"/>
                <c:pt idx="0">
                  <c:v>PStart</c:v>
                </c:pt>
                <c:pt idx="1">
                  <c:v>Pointer</c:v>
                </c:pt>
                <c:pt idx="2">
                  <c:v>PEnd</c:v>
                </c:pt>
              </c:strCache>
            </c:strRef>
          </c:cat>
          <c:val>
            <c:numRef>
              <c:f>Chart!$G$87:$G$90</c:f>
              <c:numCache>
                <c:formatCode>#,##0_);[Red]\(#,##0\)</c:formatCode>
                <c:ptCount val="4"/>
                <c:pt idx="0">
                  <c:v>40</c:v>
                </c:pt>
                <c:pt idx="1">
                  <c:v>0</c:v>
                </c:pt>
                <c:pt idx="2">
                  <c:v>39</c:v>
                </c:pt>
                <c:pt idx="3">
                  <c:v>79</c:v>
                </c:pt>
              </c:numCache>
            </c:numRef>
          </c:val>
          <c:extLst>
            <c:ext xmlns:c16="http://schemas.microsoft.com/office/drawing/2014/chart" uri="{C3380CC4-5D6E-409C-BE32-E72D297353CC}">
              <c16:uniqueId val="{00000006-C869-49EB-8C1F-9C99189592E8}"/>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C869-49EB-8C1F-9C99189592E8}"/>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C869-49EB-8C1F-9C99189592E8}"/>
              </c:ext>
            </c:extLst>
          </c:dPt>
          <c:dPt>
            <c:idx val="2"/>
            <c:bubble3D val="0"/>
            <c:spPr>
              <a:noFill/>
              <a:ln w="19050">
                <a:noFill/>
              </a:ln>
              <a:effectLst/>
            </c:spPr>
            <c:extLst>
              <c:ext xmlns:c16="http://schemas.microsoft.com/office/drawing/2014/chart" uri="{C3380CC4-5D6E-409C-BE32-E72D297353CC}">
                <c16:uniqueId val="{0000000C-C869-49EB-8C1F-9C99189592E8}"/>
              </c:ext>
            </c:extLst>
          </c:dPt>
          <c:cat>
            <c:strRef>
              <c:f>Chart!$D$45:$D$47</c:f>
              <c:strCache>
                <c:ptCount val="3"/>
                <c:pt idx="0">
                  <c:v>PStart</c:v>
                </c:pt>
                <c:pt idx="1">
                  <c:v>Pointer</c:v>
                </c:pt>
                <c:pt idx="2">
                  <c:v>PEnd</c:v>
                </c:pt>
              </c:strCache>
            </c:strRef>
          </c:cat>
          <c:val>
            <c:numRef>
              <c:f>Chart!$G$91:$G$93</c:f>
              <c:numCache>
                <c:formatCode>#,##0_);[Red]\(#,##0\)</c:formatCode>
                <c:ptCount val="3"/>
                <c:pt idx="0">
                  <c:v>39.407499999999999</c:v>
                </c:pt>
                <c:pt idx="1">
                  <c:v>1.1850000000000001</c:v>
                </c:pt>
                <c:pt idx="2">
                  <c:v>117.4075</c:v>
                </c:pt>
              </c:numCache>
            </c:numRef>
          </c:val>
          <c:extLst>
            <c:ext xmlns:c16="http://schemas.microsoft.com/office/drawing/2014/chart" uri="{C3380CC4-5D6E-409C-BE32-E72D297353CC}">
              <c16:uniqueId val="{0000000D-C869-49EB-8C1F-9C99189592E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solidFill>
                <a:schemeClr val="accent6"/>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7DD-4BB9-92B9-51C29E84CB56}"/>
              </c:ext>
            </c:extLst>
          </c:dPt>
          <c:dPt>
            <c:idx val="1"/>
            <c:bubble3D val="0"/>
            <c:spPr>
              <a:pattFill prst="pct25">
                <a:fgClr>
                  <a:srgbClr val="76232F"/>
                </a:fgClr>
                <a:bgClr>
                  <a:sysClr val="window" lastClr="FFFFFF"/>
                </a:bgClr>
              </a:patt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7DD-4BB9-92B9-51C29E84CB56}"/>
              </c:ext>
            </c:extLst>
          </c:dPt>
          <c:dPt>
            <c:idx val="2"/>
            <c:bubble3D val="0"/>
            <c:spPr>
              <a:solidFill>
                <a:schemeClr val="bg1"/>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A7DD-4BB9-92B9-51C29E84CB56}"/>
              </c:ext>
            </c:extLst>
          </c:dPt>
          <c:dPt>
            <c:idx val="3"/>
            <c:bubble3D val="0"/>
            <c:spPr>
              <a:noFill/>
              <a:ln w="19050">
                <a:noFill/>
              </a:ln>
              <a:effectLst/>
            </c:spPr>
            <c:extLst>
              <c:ext xmlns:c16="http://schemas.microsoft.com/office/drawing/2014/chart" uri="{C3380CC4-5D6E-409C-BE32-E72D297353CC}">
                <c16:uniqueId val="{00000007-347F-40EB-A1F0-7A5F37A05C75}"/>
              </c:ext>
            </c:extLst>
          </c:dPt>
          <c:cat>
            <c:strRef>
              <c:f>Chart!$D$45:$D$47</c:f>
              <c:strCache>
                <c:ptCount val="3"/>
                <c:pt idx="0">
                  <c:v>PStart</c:v>
                </c:pt>
                <c:pt idx="1">
                  <c:v>Pointer</c:v>
                </c:pt>
                <c:pt idx="2">
                  <c:v>PEnd</c:v>
                </c:pt>
              </c:strCache>
            </c:strRef>
          </c:cat>
          <c:val>
            <c:numRef>
              <c:f>Chart!$G$98:$G$101</c:f>
              <c:numCache>
                <c:formatCode>#,##0_);[Red]\(#,##0\)</c:formatCode>
                <c:ptCount val="4"/>
                <c:pt idx="0">
                  <c:v>143</c:v>
                </c:pt>
                <c:pt idx="1">
                  <c:v>0</c:v>
                </c:pt>
                <c:pt idx="2">
                  <c:v>79</c:v>
                </c:pt>
                <c:pt idx="3">
                  <c:v>222</c:v>
                </c:pt>
              </c:numCache>
            </c:numRef>
          </c:val>
          <c:extLst>
            <c:ext xmlns:c16="http://schemas.microsoft.com/office/drawing/2014/chart" uri="{C3380CC4-5D6E-409C-BE32-E72D297353CC}">
              <c16:uniqueId val="{00000006-A7DD-4BB9-92B9-51C29E84CB56}"/>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A7DD-4BB9-92B9-51C29E84CB56}"/>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A7DD-4BB9-92B9-51C29E84CB56}"/>
              </c:ext>
            </c:extLst>
          </c:dPt>
          <c:dPt>
            <c:idx val="2"/>
            <c:bubble3D val="0"/>
            <c:spPr>
              <a:noFill/>
              <a:ln w="19050">
                <a:noFill/>
              </a:ln>
              <a:effectLst/>
            </c:spPr>
            <c:extLst>
              <c:ext xmlns:c16="http://schemas.microsoft.com/office/drawing/2014/chart" uri="{C3380CC4-5D6E-409C-BE32-E72D297353CC}">
                <c16:uniqueId val="{0000000C-A7DD-4BB9-92B9-51C29E84CB56}"/>
              </c:ext>
            </c:extLst>
          </c:dPt>
          <c:cat>
            <c:strRef>
              <c:f>Chart!$D$45:$D$47</c:f>
              <c:strCache>
                <c:ptCount val="3"/>
                <c:pt idx="0">
                  <c:v>PStart</c:v>
                </c:pt>
                <c:pt idx="1">
                  <c:v>Pointer</c:v>
                </c:pt>
                <c:pt idx="2">
                  <c:v>PEnd</c:v>
                </c:pt>
              </c:strCache>
            </c:strRef>
          </c:cat>
          <c:val>
            <c:numRef>
              <c:f>Chart!$G$102:$G$104</c:f>
              <c:numCache>
                <c:formatCode>#,##0_);[Red]\(#,##0\)</c:formatCode>
                <c:ptCount val="3"/>
                <c:pt idx="0">
                  <c:v>117.33499999999999</c:v>
                </c:pt>
                <c:pt idx="1">
                  <c:v>3.33</c:v>
                </c:pt>
                <c:pt idx="2">
                  <c:v>323.33500000000004</c:v>
                </c:pt>
              </c:numCache>
            </c:numRef>
          </c:val>
          <c:extLst>
            <c:ext xmlns:c16="http://schemas.microsoft.com/office/drawing/2014/chart" uri="{C3380CC4-5D6E-409C-BE32-E72D297353CC}">
              <c16:uniqueId val="{0000000D-A7DD-4BB9-92B9-51C29E84CB5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lumMod val="50000"/>
              </a:schemeClr>
            </a:solidFill>
            <a:ln>
              <a:solidFill>
                <a:schemeClr val="accent4">
                  <a:lumMod val="50000"/>
                </a:schemeClr>
              </a:solidFill>
            </a:ln>
            <a:effectLst>
              <a:outerShdw blurRad="50800" dist="38100" dir="8100000" algn="tr" rotWithShape="0">
                <a:prstClr val="black">
                  <a:alpha val="40000"/>
                </a:prstClr>
              </a:outerShdw>
            </a:effectLst>
          </c:spPr>
          <c:dPt>
            <c:idx val="0"/>
            <c:bubble3D val="0"/>
            <c:spPr>
              <a:solidFill>
                <a:schemeClr val="accent4">
                  <a:lumMod val="50000"/>
                </a:schemeClr>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C8D-4FCA-8476-E5AFCFC1EA30}"/>
              </c:ext>
            </c:extLst>
          </c:dPt>
          <c:dPt>
            <c:idx val="1"/>
            <c:bubble3D val="0"/>
            <c:spPr>
              <a:pattFill prst="pct25">
                <a:fgClr>
                  <a:srgbClr val="009B77">
                    <a:lumMod val="50000"/>
                  </a:srgbClr>
                </a:fgClr>
                <a:bgClr>
                  <a:sysClr val="window" lastClr="FFFFFF"/>
                </a:bgClr>
              </a:patt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C8D-4FCA-8476-E5AFCFC1EA30}"/>
              </c:ext>
            </c:extLst>
          </c:dPt>
          <c:dPt>
            <c:idx val="2"/>
            <c:bubble3D val="0"/>
            <c:spPr>
              <a:solidFill>
                <a:schemeClr val="bg1"/>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DC8D-4FCA-8476-E5AFCFC1EA30}"/>
              </c:ext>
            </c:extLst>
          </c:dPt>
          <c:dPt>
            <c:idx val="3"/>
            <c:bubble3D val="0"/>
            <c:spPr>
              <a:noFill/>
              <a:ln w="19050">
                <a:noFill/>
              </a:ln>
              <a:effectLst/>
            </c:spPr>
            <c:extLst>
              <c:ext xmlns:c16="http://schemas.microsoft.com/office/drawing/2014/chart" uri="{C3380CC4-5D6E-409C-BE32-E72D297353CC}">
                <c16:uniqueId val="{00000007-C614-44C9-BEC5-6B2FECC5968F}"/>
              </c:ext>
            </c:extLst>
          </c:dPt>
          <c:cat>
            <c:strRef>
              <c:f>Chart!$D$45:$D$47</c:f>
              <c:strCache>
                <c:ptCount val="3"/>
                <c:pt idx="0">
                  <c:v>PStart</c:v>
                </c:pt>
                <c:pt idx="1">
                  <c:v>Pointer</c:v>
                </c:pt>
                <c:pt idx="2">
                  <c:v>PEnd</c:v>
                </c:pt>
              </c:strCache>
            </c:strRef>
          </c:cat>
          <c:val>
            <c:numRef>
              <c:f>Chart!$H$87:$H$90</c:f>
              <c:numCache>
                <c:formatCode>#,##0_);[Red]\(#,##0\)</c:formatCode>
                <c:ptCount val="4"/>
                <c:pt idx="0">
                  <c:v>40</c:v>
                </c:pt>
                <c:pt idx="1">
                  <c:v>0</c:v>
                </c:pt>
                <c:pt idx="2">
                  <c:v>39</c:v>
                </c:pt>
                <c:pt idx="3">
                  <c:v>79</c:v>
                </c:pt>
              </c:numCache>
            </c:numRef>
          </c:val>
          <c:extLst>
            <c:ext xmlns:c16="http://schemas.microsoft.com/office/drawing/2014/chart" uri="{C3380CC4-5D6E-409C-BE32-E72D297353CC}">
              <c16:uniqueId val="{00000006-DC8D-4FCA-8476-E5AFCFC1EA30}"/>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DC8D-4FCA-8476-E5AFCFC1EA30}"/>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DC8D-4FCA-8476-E5AFCFC1EA30}"/>
              </c:ext>
            </c:extLst>
          </c:dPt>
          <c:dPt>
            <c:idx val="2"/>
            <c:bubble3D val="0"/>
            <c:spPr>
              <a:noFill/>
              <a:ln w="19050">
                <a:noFill/>
              </a:ln>
              <a:effectLst/>
            </c:spPr>
            <c:extLst>
              <c:ext xmlns:c16="http://schemas.microsoft.com/office/drawing/2014/chart" uri="{C3380CC4-5D6E-409C-BE32-E72D297353CC}">
                <c16:uniqueId val="{0000000C-DC8D-4FCA-8476-E5AFCFC1EA30}"/>
              </c:ext>
            </c:extLst>
          </c:dPt>
          <c:cat>
            <c:strRef>
              <c:f>Chart!$D$45:$D$47</c:f>
              <c:strCache>
                <c:ptCount val="3"/>
                <c:pt idx="0">
                  <c:v>PStart</c:v>
                </c:pt>
                <c:pt idx="1">
                  <c:v>Pointer</c:v>
                </c:pt>
                <c:pt idx="2">
                  <c:v>PEnd</c:v>
                </c:pt>
              </c:strCache>
            </c:strRef>
          </c:cat>
          <c:val>
            <c:numRef>
              <c:f>Chart!$H$91:$H$93</c:f>
              <c:numCache>
                <c:formatCode>#,##0_);[Red]\(#,##0\)</c:formatCode>
                <c:ptCount val="3"/>
                <c:pt idx="0">
                  <c:v>39.407499999999999</c:v>
                </c:pt>
                <c:pt idx="1">
                  <c:v>1.1850000000000001</c:v>
                </c:pt>
                <c:pt idx="2">
                  <c:v>117.4075</c:v>
                </c:pt>
              </c:numCache>
            </c:numRef>
          </c:val>
          <c:extLst>
            <c:ext xmlns:c16="http://schemas.microsoft.com/office/drawing/2014/chart" uri="{C3380CC4-5D6E-409C-BE32-E72D297353CC}">
              <c16:uniqueId val="{0000000D-DC8D-4FCA-8476-E5AFCFC1EA3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solidFill>
            <a:ln>
              <a:solidFill>
                <a:schemeClr val="accent4"/>
              </a:solidFill>
            </a:ln>
            <a:effectLst>
              <a:outerShdw blurRad="50800" dist="38100" dir="8100000" algn="tr" rotWithShape="0">
                <a:prstClr val="black">
                  <a:alpha val="40000"/>
                </a:prstClr>
              </a:outerShdw>
            </a:effectLst>
          </c:spPr>
          <c:dPt>
            <c:idx val="0"/>
            <c:bubble3D val="0"/>
            <c:spPr>
              <a:solidFill>
                <a:schemeClr val="accent4"/>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902-4C5C-B28E-3104862DE5A3}"/>
              </c:ext>
            </c:extLst>
          </c:dPt>
          <c:dPt>
            <c:idx val="1"/>
            <c:bubble3D val="0"/>
            <c:spPr>
              <a:pattFill prst="pct25">
                <a:fgClr>
                  <a:srgbClr val="009B77"/>
                </a:fgClr>
                <a:bgClr>
                  <a:sysClr val="window" lastClr="FFFFFF"/>
                </a:bgClr>
              </a:patt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902-4C5C-B28E-3104862DE5A3}"/>
              </c:ext>
            </c:extLst>
          </c:dPt>
          <c:dPt>
            <c:idx val="2"/>
            <c:bubble3D val="0"/>
            <c:spPr>
              <a:solidFill>
                <a:schemeClr val="bg1"/>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7902-4C5C-B28E-3104862DE5A3}"/>
              </c:ext>
            </c:extLst>
          </c:dPt>
          <c:dPt>
            <c:idx val="3"/>
            <c:bubble3D val="0"/>
            <c:spPr>
              <a:noFill/>
              <a:ln w="19050">
                <a:noFill/>
              </a:ln>
              <a:effectLst/>
            </c:spPr>
            <c:extLst>
              <c:ext xmlns:c16="http://schemas.microsoft.com/office/drawing/2014/chart" uri="{C3380CC4-5D6E-409C-BE32-E72D297353CC}">
                <c16:uniqueId val="{00000007-9534-4AB4-BEED-79CD61674637}"/>
              </c:ext>
            </c:extLst>
          </c:dPt>
          <c:cat>
            <c:strRef>
              <c:f>Chart!$D$45:$D$47</c:f>
              <c:strCache>
                <c:ptCount val="3"/>
                <c:pt idx="0">
                  <c:v>PStart</c:v>
                </c:pt>
                <c:pt idx="1">
                  <c:v>Pointer</c:v>
                </c:pt>
                <c:pt idx="2">
                  <c:v>PEnd</c:v>
                </c:pt>
              </c:strCache>
            </c:strRef>
          </c:cat>
          <c:val>
            <c:numRef>
              <c:f>Chart!$H$98:$H$101</c:f>
              <c:numCache>
                <c:formatCode>#,##0_);[Red]\(#,##0\)</c:formatCode>
                <c:ptCount val="4"/>
                <c:pt idx="0">
                  <c:v>143</c:v>
                </c:pt>
                <c:pt idx="1">
                  <c:v>0</c:v>
                </c:pt>
                <c:pt idx="2">
                  <c:v>79</c:v>
                </c:pt>
                <c:pt idx="3">
                  <c:v>222</c:v>
                </c:pt>
              </c:numCache>
            </c:numRef>
          </c:val>
          <c:extLst>
            <c:ext xmlns:c16="http://schemas.microsoft.com/office/drawing/2014/chart" uri="{C3380CC4-5D6E-409C-BE32-E72D297353CC}">
              <c16:uniqueId val="{00000006-7902-4C5C-B28E-3104862DE5A3}"/>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7902-4C5C-B28E-3104862DE5A3}"/>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7902-4C5C-B28E-3104862DE5A3}"/>
              </c:ext>
            </c:extLst>
          </c:dPt>
          <c:dPt>
            <c:idx val="2"/>
            <c:bubble3D val="0"/>
            <c:spPr>
              <a:noFill/>
              <a:ln w="19050">
                <a:noFill/>
              </a:ln>
              <a:effectLst/>
            </c:spPr>
            <c:extLst>
              <c:ext xmlns:c16="http://schemas.microsoft.com/office/drawing/2014/chart" uri="{C3380CC4-5D6E-409C-BE32-E72D297353CC}">
                <c16:uniqueId val="{0000000C-7902-4C5C-B28E-3104862DE5A3}"/>
              </c:ext>
            </c:extLst>
          </c:dPt>
          <c:cat>
            <c:strRef>
              <c:f>Chart!$D$45:$D$47</c:f>
              <c:strCache>
                <c:ptCount val="3"/>
                <c:pt idx="0">
                  <c:v>PStart</c:v>
                </c:pt>
                <c:pt idx="1">
                  <c:v>Pointer</c:v>
                </c:pt>
                <c:pt idx="2">
                  <c:v>PEnd</c:v>
                </c:pt>
              </c:strCache>
            </c:strRef>
          </c:cat>
          <c:val>
            <c:numRef>
              <c:f>Chart!$H$102:$H$104</c:f>
              <c:numCache>
                <c:formatCode>#,##0_);[Red]\(#,##0\)</c:formatCode>
                <c:ptCount val="3"/>
                <c:pt idx="0">
                  <c:v>137.33500000000001</c:v>
                </c:pt>
                <c:pt idx="1">
                  <c:v>3.33</c:v>
                </c:pt>
                <c:pt idx="2">
                  <c:v>303.33499999999998</c:v>
                </c:pt>
              </c:numCache>
            </c:numRef>
          </c:val>
          <c:extLst>
            <c:ext xmlns:c16="http://schemas.microsoft.com/office/drawing/2014/chart" uri="{C3380CC4-5D6E-409C-BE32-E72D297353CC}">
              <c16:uniqueId val="{0000000D-7902-4C5C-B28E-3104862DE5A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lumMod val="50000"/>
              </a:schemeClr>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lumMod val="50000"/>
                </a:schemeClr>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9F6-427F-8878-FFF881113A9E}"/>
              </c:ext>
            </c:extLst>
          </c:dPt>
          <c:dPt>
            <c:idx val="1"/>
            <c:bubble3D val="0"/>
            <c:spPr>
              <a:pattFill prst="pct25">
                <a:fgClr>
                  <a:srgbClr val="002D72">
                    <a:lumMod val="50000"/>
                  </a:srgbClr>
                </a:fgClr>
                <a:bgClr>
                  <a:sysClr val="window" lastClr="FFFFFF"/>
                </a:bgClr>
              </a:pattFill>
              <a:ln w="19050">
                <a:solidFill>
                  <a:srgbClr val="002D72"/>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9F6-427F-8878-FFF881113A9E}"/>
              </c:ext>
            </c:extLst>
          </c:dPt>
          <c:dPt>
            <c:idx val="2"/>
            <c:bubble3D val="0"/>
            <c:spPr>
              <a:solidFill>
                <a:schemeClr val="bg1"/>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99F6-427F-8878-FFF881113A9E}"/>
              </c:ext>
            </c:extLst>
          </c:dPt>
          <c:dPt>
            <c:idx val="3"/>
            <c:bubble3D val="0"/>
            <c:spPr>
              <a:noFill/>
              <a:ln w="19050">
                <a:noFill/>
              </a:ln>
              <a:effectLst/>
            </c:spPr>
            <c:extLst>
              <c:ext xmlns:c16="http://schemas.microsoft.com/office/drawing/2014/chart" uri="{C3380CC4-5D6E-409C-BE32-E72D297353CC}">
                <c16:uniqueId val="{00000007-1C71-4CBD-8B2C-483179A182DA}"/>
              </c:ext>
            </c:extLst>
          </c:dPt>
          <c:cat>
            <c:strRef>
              <c:f>Chart!$D$45:$D$47</c:f>
              <c:strCache>
                <c:ptCount val="3"/>
                <c:pt idx="0">
                  <c:v>PStart</c:v>
                </c:pt>
                <c:pt idx="1">
                  <c:v>Pointer</c:v>
                </c:pt>
                <c:pt idx="2">
                  <c:v>PEnd</c:v>
                </c:pt>
              </c:strCache>
            </c:strRef>
          </c:cat>
          <c:val>
            <c:numRef>
              <c:f>Chart!$E$110:$E$113</c:f>
              <c:numCache>
                <c:formatCode>#,##0_);[Red]\(#,##0\)</c:formatCode>
                <c:ptCount val="4"/>
                <c:pt idx="0">
                  <c:v>34</c:v>
                </c:pt>
                <c:pt idx="1">
                  <c:v>0</c:v>
                </c:pt>
                <c:pt idx="2">
                  <c:v>38</c:v>
                </c:pt>
                <c:pt idx="3">
                  <c:v>72</c:v>
                </c:pt>
              </c:numCache>
            </c:numRef>
          </c:val>
          <c:extLst>
            <c:ext xmlns:c16="http://schemas.microsoft.com/office/drawing/2014/chart" uri="{C3380CC4-5D6E-409C-BE32-E72D297353CC}">
              <c16:uniqueId val="{00000006-99F6-427F-8878-FFF881113A9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99F6-427F-8878-FFF881113A9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99F6-427F-8878-FFF881113A9E}"/>
              </c:ext>
            </c:extLst>
          </c:dPt>
          <c:dPt>
            <c:idx val="2"/>
            <c:bubble3D val="0"/>
            <c:spPr>
              <a:noFill/>
              <a:ln w="19050">
                <a:noFill/>
              </a:ln>
              <a:effectLst/>
            </c:spPr>
            <c:extLst>
              <c:ext xmlns:c16="http://schemas.microsoft.com/office/drawing/2014/chart" uri="{C3380CC4-5D6E-409C-BE32-E72D297353CC}">
                <c16:uniqueId val="{0000000C-99F6-427F-8878-FFF881113A9E}"/>
              </c:ext>
            </c:extLst>
          </c:dPt>
          <c:cat>
            <c:strRef>
              <c:f>Chart!$D$45:$D$47</c:f>
              <c:strCache>
                <c:ptCount val="3"/>
                <c:pt idx="0">
                  <c:v>PStart</c:v>
                </c:pt>
                <c:pt idx="1">
                  <c:v>Pointer</c:v>
                </c:pt>
                <c:pt idx="2">
                  <c:v>PEnd</c:v>
                </c:pt>
              </c:strCache>
            </c:strRef>
          </c:cat>
          <c:val>
            <c:numRef>
              <c:f>Chart!$E$114:$E$116</c:f>
              <c:numCache>
                <c:formatCode>#,##0_);[Red]\(#,##0\)</c:formatCode>
                <c:ptCount val="3"/>
                <c:pt idx="0">
                  <c:v>11.46</c:v>
                </c:pt>
                <c:pt idx="1">
                  <c:v>1.08</c:v>
                </c:pt>
                <c:pt idx="2">
                  <c:v>131.46</c:v>
                </c:pt>
              </c:numCache>
            </c:numRef>
          </c:val>
          <c:extLst>
            <c:ext xmlns:c16="http://schemas.microsoft.com/office/drawing/2014/chart" uri="{C3380CC4-5D6E-409C-BE32-E72D297353CC}">
              <c16:uniqueId val="{0000000D-99F6-427F-8878-FFF881113A9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8F8B-4853-B9DC-D2795AD4AB62}"/>
              </c:ext>
            </c:extLst>
          </c:dPt>
          <c:dPt>
            <c:idx val="1"/>
            <c:bubble3D val="0"/>
            <c:spPr>
              <a:pattFill prst="pct25">
                <a:fgClr>
                  <a:srgbClr val="002D72"/>
                </a:fgClr>
                <a:bgClr>
                  <a:sysClr val="window" lastClr="FFFFFF"/>
                </a:bgClr>
              </a:patt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8F8B-4853-B9DC-D2795AD4AB62}"/>
              </c:ext>
            </c:extLst>
          </c:dPt>
          <c:dPt>
            <c:idx val="2"/>
            <c:bubble3D val="0"/>
            <c:spPr>
              <a:solidFill>
                <a:schemeClr val="bg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8F8B-4853-B9DC-D2795AD4AB62}"/>
              </c:ext>
            </c:extLst>
          </c:dPt>
          <c:dPt>
            <c:idx val="3"/>
            <c:bubble3D val="0"/>
            <c:spPr>
              <a:noFill/>
              <a:ln w="19050">
                <a:noFill/>
              </a:ln>
              <a:effectLst/>
            </c:spPr>
            <c:extLst>
              <c:ext xmlns:c16="http://schemas.microsoft.com/office/drawing/2014/chart" uri="{C3380CC4-5D6E-409C-BE32-E72D297353CC}">
                <c16:uniqueId val="{00000007-EF8D-4F41-8D31-A6D0B84ABA91}"/>
              </c:ext>
            </c:extLst>
          </c:dPt>
          <c:cat>
            <c:strRef>
              <c:f>Chart!$D$45:$D$47</c:f>
              <c:strCache>
                <c:ptCount val="3"/>
                <c:pt idx="0">
                  <c:v>PStart</c:v>
                </c:pt>
                <c:pt idx="1">
                  <c:v>Pointer</c:v>
                </c:pt>
                <c:pt idx="2">
                  <c:v>PEnd</c:v>
                </c:pt>
              </c:strCache>
            </c:strRef>
          </c:cat>
          <c:val>
            <c:numRef>
              <c:f>Chart!$E$121:$E$124</c:f>
              <c:numCache>
                <c:formatCode>#,##0_);[Red]\(#,##0\)</c:formatCode>
                <c:ptCount val="4"/>
                <c:pt idx="0">
                  <c:v>60</c:v>
                </c:pt>
                <c:pt idx="1">
                  <c:v>0</c:v>
                </c:pt>
                <c:pt idx="2">
                  <c:v>249</c:v>
                </c:pt>
                <c:pt idx="3">
                  <c:v>309</c:v>
                </c:pt>
              </c:numCache>
            </c:numRef>
          </c:val>
          <c:extLst>
            <c:ext xmlns:c16="http://schemas.microsoft.com/office/drawing/2014/chart" uri="{C3380CC4-5D6E-409C-BE32-E72D297353CC}">
              <c16:uniqueId val="{00000006-8F8B-4853-B9DC-D2795AD4AB62}"/>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8F8B-4853-B9DC-D2795AD4AB62}"/>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8F8B-4853-B9DC-D2795AD4AB62}"/>
              </c:ext>
            </c:extLst>
          </c:dPt>
          <c:dPt>
            <c:idx val="2"/>
            <c:bubble3D val="0"/>
            <c:spPr>
              <a:noFill/>
              <a:ln w="19050">
                <a:noFill/>
              </a:ln>
              <a:effectLst/>
            </c:spPr>
            <c:extLst>
              <c:ext xmlns:c16="http://schemas.microsoft.com/office/drawing/2014/chart" uri="{C3380CC4-5D6E-409C-BE32-E72D297353CC}">
                <c16:uniqueId val="{0000000C-8F8B-4853-B9DC-D2795AD4AB62}"/>
              </c:ext>
            </c:extLst>
          </c:dPt>
          <c:cat>
            <c:strRef>
              <c:f>Chart!$D$45:$D$47</c:f>
              <c:strCache>
                <c:ptCount val="3"/>
                <c:pt idx="0">
                  <c:v>PStart</c:v>
                </c:pt>
                <c:pt idx="1">
                  <c:v>Pointer</c:v>
                </c:pt>
                <c:pt idx="2">
                  <c:v>PEnd</c:v>
                </c:pt>
              </c:strCache>
            </c:strRef>
          </c:cat>
          <c:val>
            <c:numRef>
              <c:f>Chart!$E$125:$E$127</c:f>
              <c:numCache>
                <c:formatCode>#,##0_);[Red]\(#,##0\)</c:formatCode>
                <c:ptCount val="3"/>
                <c:pt idx="0">
                  <c:v>27.682500000000001</c:v>
                </c:pt>
                <c:pt idx="1">
                  <c:v>4.6349999999999998</c:v>
                </c:pt>
                <c:pt idx="2">
                  <c:v>585.6825</c:v>
                </c:pt>
              </c:numCache>
            </c:numRef>
          </c:val>
          <c:extLst>
            <c:ext xmlns:c16="http://schemas.microsoft.com/office/drawing/2014/chart" uri="{C3380CC4-5D6E-409C-BE32-E72D297353CC}">
              <c16:uniqueId val="{0000000D-8F8B-4853-B9DC-D2795AD4AB6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lumMod val="50000"/>
              </a:schemeClr>
            </a:solidFill>
            <a:ln>
              <a:solidFill>
                <a:schemeClr val="accent5">
                  <a:lumMod val="50000"/>
                </a:schemeClr>
              </a:solidFill>
            </a:ln>
            <a:effectLst>
              <a:outerShdw blurRad="50800" dist="38100" dir="8100000" algn="tr" rotWithShape="0">
                <a:prstClr val="black">
                  <a:alpha val="40000"/>
                </a:prstClr>
              </a:outerShdw>
            </a:effectLst>
          </c:spPr>
          <c:dPt>
            <c:idx val="0"/>
            <c:bubble3D val="0"/>
            <c:spPr>
              <a:solidFill>
                <a:schemeClr val="accent5">
                  <a:lumMod val="50000"/>
                </a:schemeClr>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7C1-41EA-A85C-C21B3CBF501C}"/>
              </c:ext>
            </c:extLst>
          </c:dPt>
          <c:dPt>
            <c:idx val="1"/>
            <c:bubble3D val="0"/>
            <c:spPr>
              <a:pattFill prst="pct25">
                <a:fgClr>
                  <a:srgbClr val="F1C400">
                    <a:lumMod val="50000"/>
                  </a:srgbClr>
                </a:fgClr>
                <a:bgClr>
                  <a:sysClr val="window" lastClr="FFFFFF"/>
                </a:bgClr>
              </a:patt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7C1-41EA-A85C-C21B3CBF501C}"/>
              </c:ext>
            </c:extLst>
          </c:dPt>
          <c:dPt>
            <c:idx val="2"/>
            <c:bubble3D val="0"/>
            <c:spPr>
              <a:solidFill>
                <a:schemeClr val="bg1"/>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E7C1-41EA-A85C-C21B3CBF501C}"/>
              </c:ext>
            </c:extLst>
          </c:dPt>
          <c:dPt>
            <c:idx val="3"/>
            <c:bubble3D val="0"/>
            <c:spPr>
              <a:noFill/>
              <a:ln w="19050">
                <a:noFill/>
              </a:ln>
              <a:effectLst/>
            </c:spPr>
            <c:extLst>
              <c:ext xmlns:c16="http://schemas.microsoft.com/office/drawing/2014/chart" uri="{C3380CC4-5D6E-409C-BE32-E72D297353CC}">
                <c16:uniqueId val="{00000007-3AFE-42EA-B401-F47911CAD5A3}"/>
              </c:ext>
            </c:extLst>
          </c:dPt>
          <c:cat>
            <c:strRef>
              <c:f>Chart!$D$45:$D$47</c:f>
              <c:strCache>
                <c:ptCount val="3"/>
                <c:pt idx="0">
                  <c:v>PStart</c:v>
                </c:pt>
                <c:pt idx="1">
                  <c:v>Pointer</c:v>
                </c:pt>
                <c:pt idx="2">
                  <c:v>PEnd</c:v>
                </c:pt>
              </c:strCache>
            </c:strRef>
          </c:cat>
          <c:val>
            <c:numRef>
              <c:f>Chart!$F$110:$F$113</c:f>
              <c:numCache>
                <c:formatCode>#,##0_);[Red]\(#,##0\)</c:formatCode>
                <c:ptCount val="4"/>
                <c:pt idx="0">
                  <c:v>34</c:v>
                </c:pt>
                <c:pt idx="1">
                  <c:v>0</c:v>
                </c:pt>
                <c:pt idx="2">
                  <c:v>38</c:v>
                </c:pt>
                <c:pt idx="3">
                  <c:v>72</c:v>
                </c:pt>
              </c:numCache>
            </c:numRef>
          </c:val>
          <c:extLst>
            <c:ext xmlns:c16="http://schemas.microsoft.com/office/drawing/2014/chart" uri="{C3380CC4-5D6E-409C-BE32-E72D297353CC}">
              <c16:uniqueId val="{00000006-E7C1-41EA-A85C-C21B3CBF501C}"/>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E7C1-41EA-A85C-C21B3CBF501C}"/>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E7C1-41EA-A85C-C21B3CBF501C}"/>
              </c:ext>
            </c:extLst>
          </c:dPt>
          <c:dPt>
            <c:idx val="2"/>
            <c:bubble3D val="0"/>
            <c:spPr>
              <a:noFill/>
              <a:ln w="19050">
                <a:noFill/>
              </a:ln>
              <a:effectLst/>
            </c:spPr>
            <c:extLst>
              <c:ext xmlns:c16="http://schemas.microsoft.com/office/drawing/2014/chart" uri="{C3380CC4-5D6E-409C-BE32-E72D297353CC}">
                <c16:uniqueId val="{0000000C-E7C1-41EA-A85C-C21B3CBF501C}"/>
              </c:ext>
            </c:extLst>
          </c:dPt>
          <c:cat>
            <c:strRef>
              <c:f>Chart!$D$45:$D$47</c:f>
              <c:strCache>
                <c:ptCount val="3"/>
                <c:pt idx="0">
                  <c:v>PStart</c:v>
                </c:pt>
                <c:pt idx="1">
                  <c:v>Pointer</c:v>
                </c:pt>
                <c:pt idx="2">
                  <c:v>PEnd</c:v>
                </c:pt>
              </c:strCache>
            </c:strRef>
          </c:cat>
          <c:val>
            <c:numRef>
              <c:f>Chart!$F$114:$F$116</c:f>
              <c:numCache>
                <c:formatCode>#,##0_);[Red]\(#,##0\)</c:formatCode>
                <c:ptCount val="3"/>
                <c:pt idx="0">
                  <c:v>11.46</c:v>
                </c:pt>
                <c:pt idx="1">
                  <c:v>1.08</c:v>
                </c:pt>
                <c:pt idx="2">
                  <c:v>131.46</c:v>
                </c:pt>
              </c:numCache>
            </c:numRef>
          </c:val>
          <c:extLst>
            <c:ext xmlns:c16="http://schemas.microsoft.com/office/drawing/2014/chart" uri="{C3380CC4-5D6E-409C-BE32-E72D297353CC}">
              <c16:uniqueId val="{0000000D-E7C1-41EA-A85C-C21B3CBF501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solidFill>
            <a:ln>
              <a:solidFill>
                <a:schemeClr val="accent5"/>
              </a:solidFill>
            </a:ln>
            <a:effectLst>
              <a:outerShdw blurRad="50800" dist="38100" dir="8100000" algn="tr" rotWithShape="0">
                <a:prstClr val="black">
                  <a:alpha val="40000"/>
                </a:prstClr>
              </a:outerShdw>
            </a:effectLst>
          </c:spPr>
          <c:dPt>
            <c:idx val="0"/>
            <c:bubble3D val="0"/>
            <c:spPr>
              <a:solidFill>
                <a:schemeClr val="accent5"/>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F16-4B89-9ED8-A7138BC9168E}"/>
              </c:ext>
            </c:extLst>
          </c:dPt>
          <c:dPt>
            <c:idx val="1"/>
            <c:bubble3D val="0"/>
            <c:spPr>
              <a:pattFill prst="pct25">
                <a:fgClr>
                  <a:srgbClr val="F1C400"/>
                </a:fgClr>
                <a:bgClr>
                  <a:sysClr val="window" lastClr="FFFFFF"/>
                </a:bgClr>
              </a:patt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F16-4B89-9ED8-A7138BC9168E}"/>
              </c:ext>
            </c:extLst>
          </c:dPt>
          <c:dPt>
            <c:idx val="2"/>
            <c:bubble3D val="0"/>
            <c:spPr>
              <a:solidFill>
                <a:schemeClr val="bg1"/>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2F16-4B89-9ED8-A7138BC9168E}"/>
              </c:ext>
            </c:extLst>
          </c:dPt>
          <c:dPt>
            <c:idx val="3"/>
            <c:bubble3D val="0"/>
            <c:spPr>
              <a:noFill/>
              <a:ln w="19050">
                <a:noFill/>
              </a:ln>
              <a:effectLst/>
            </c:spPr>
            <c:extLst>
              <c:ext xmlns:c16="http://schemas.microsoft.com/office/drawing/2014/chart" uri="{C3380CC4-5D6E-409C-BE32-E72D297353CC}">
                <c16:uniqueId val="{00000007-EEFE-4C6D-892A-0D665DF18302}"/>
              </c:ext>
            </c:extLst>
          </c:dPt>
          <c:cat>
            <c:strRef>
              <c:f>Chart!$D$45:$D$47</c:f>
              <c:strCache>
                <c:ptCount val="3"/>
                <c:pt idx="0">
                  <c:v>PStart</c:v>
                </c:pt>
                <c:pt idx="1">
                  <c:v>Pointer</c:v>
                </c:pt>
                <c:pt idx="2">
                  <c:v>PEnd</c:v>
                </c:pt>
              </c:strCache>
            </c:strRef>
          </c:cat>
          <c:val>
            <c:numRef>
              <c:f>Chart!$F$121:$F$124</c:f>
              <c:numCache>
                <c:formatCode>#,##0_);[Red]\(#,##0\)</c:formatCode>
                <c:ptCount val="4"/>
                <c:pt idx="0">
                  <c:v>60</c:v>
                </c:pt>
                <c:pt idx="1">
                  <c:v>0</c:v>
                </c:pt>
                <c:pt idx="2">
                  <c:v>249</c:v>
                </c:pt>
                <c:pt idx="3">
                  <c:v>309</c:v>
                </c:pt>
              </c:numCache>
            </c:numRef>
          </c:val>
          <c:extLst>
            <c:ext xmlns:c16="http://schemas.microsoft.com/office/drawing/2014/chart" uri="{C3380CC4-5D6E-409C-BE32-E72D297353CC}">
              <c16:uniqueId val="{00000006-2F16-4B89-9ED8-A7138BC9168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2F16-4B89-9ED8-A7138BC9168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F16-4B89-9ED8-A7138BC9168E}"/>
              </c:ext>
            </c:extLst>
          </c:dPt>
          <c:dPt>
            <c:idx val="2"/>
            <c:bubble3D val="0"/>
            <c:spPr>
              <a:noFill/>
              <a:ln w="19050">
                <a:noFill/>
              </a:ln>
              <a:effectLst/>
            </c:spPr>
            <c:extLst>
              <c:ext xmlns:c16="http://schemas.microsoft.com/office/drawing/2014/chart" uri="{C3380CC4-5D6E-409C-BE32-E72D297353CC}">
                <c16:uniqueId val="{0000000C-2F16-4B89-9ED8-A7138BC9168E}"/>
              </c:ext>
            </c:extLst>
          </c:dPt>
          <c:cat>
            <c:strRef>
              <c:f>Chart!$D$45:$D$47</c:f>
              <c:strCache>
                <c:ptCount val="3"/>
                <c:pt idx="0">
                  <c:v>PStart</c:v>
                </c:pt>
                <c:pt idx="1">
                  <c:v>Pointer</c:v>
                </c:pt>
                <c:pt idx="2">
                  <c:v>PEnd</c:v>
                </c:pt>
              </c:strCache>
            </c:strRef>
          </c:cat>
          <c:val>
            <c:numRef>
              <c:f>Chart!$F$125:$F$127</c:f>
              <c:numCache>
                <c:formatCode>#,##0_);[Red]\(#,##0\)</c:formatCode>
                <c:ptCount val="3"/>
                <c:pt idx="0">
                  <c:v>57.682499999999997</c:v>
                </c:pt>
                <c:pt idx="1">
                  <c:v>4.6349999999999998</c:v>
                </c:pt>
                <c:pt idx="2">
                  <c:v>555.6825</c:v>
                </c:pt>
              </c:numCache>
            </c:numRef>
          </c:val>
          <c:extLst>
            <c:ext xmlns:c16="http://schemas.microsoft.com/office/drawing/2014/chart" uri="{C3380CC4-5D6E-409C-BE32-E72D297353CC}">
              <c16:uniqueId val="{0000000D-2F16-4B89-9ED8-A7138BC9168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lumMod val="75000"/>
              </a:schemeClr>
            </a:solidFill>
            <a:ln>
              <a:solidFill>
                <a:schemeClr val="accent6">
                  <a:lumMod val="75000"/>
                </a:schemeClr>
              </a:solidFill>
            </a:ln>
            <a:effectLst>
              <a:outerShdw blurRad="50800" dist="38100" dir="8100000" algn="tr" rotWithShape="0">
                <a:prstClr val="black">
                  <a:alpha val="40000"/>
                </a:prstClr>
              </a:outerShdw>
            </a:effectLst>
          </c:spPr>
          <c:dPt>
            <c:idx val="0"/>
            <c:bubble3D val="0"/>
            <c:spPr>
              <a:solidFill>
                <a:schemeClr val="accent6">
                  <a:lumMod val="75000"/>
                </a:schemeClr>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869-49EB-8C1F-9C99189592E8}"/>
              </c:ext>
            </c:extLst>
          </c:dPt>
          <c:dPt>
            <c:idx val="1"/>
            <c:bubble3D val="0"/>
            <c:spPr>
              <a:pattFill prst="pct25">
                <a:fgClr>
                  <a:srgbClr val="76232F">
                    <a:lumMod val="75000"/>
                  </a:srgbClr>
                </a:fgClr>
                <a:bgClr>
                  <a:sysClr val="window" lastClr="FFFFFF"/>
                </a:bgClr>
              </a:patt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869-49EB-8C1F-9C99189592E8}"/>
              </c:ext>
            </c:extLst>
          </c:dPt>
          <c:dPt>
            <c:idx val="2"/>
            <c:bubble3D val="0"/>
            <c:spPr>
              <a:solidFill>
                <a:schemeClr val="bg1"/>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C869-49EB-8C1F-9C99189592E8}"/>
              </c:ext>
            </c:extLst>
          </c:dPt>
          <c:dPt>
            <c:idx val="3"/>
            <c:bubble3D val="0"/>
            <c:spPr>
              <a:noFill/>
              <a:ln w="19050">
                <a:noFill/>
              </a:ln>
              <a:effectLst/>
            </c:spPr>
            <c:extLst>
              <c:ext xmlns:c16="http://schemas.microsoft.com/office/drawing/2014/chart" uri="{C3380CC4-5D6E-409C-BE32-E72D297353CC}">
                <c16:uniqueId val="{00000007-D18C-4233-AE13-38232E248C22}"/>
              </c:ext>
            </c:extLst>
          </c:dPt>
          <c:cat>
            <c:strRef>
              <c:f>Chart!$D$45:$D$47</c:f>
              <c:strCache>
                <c:ptCount val="3"/>
                <c:pt idx="0">
                  <c:v>PStart</c:v>
                </c:pt>
                <c:pt idx="1">
                  <c:v>Pointer</c:v>
                </c:pt>
                <c:pt idx="2">
                  <c:v>PEnd</c:v>
                </c:pt>
              </c:strCache>
            </c:strRef>
          </c:cat>
          <c:val>
            <c:numRef>
              <c:f>Chart!$G$110:$G$113</c:f>
              <c:numCache>
                <c:formatCode>#,##0_);[Red]\(#,##0\)</c:formatCode>
                <c:ptCount val="4"/>
                <c:pt idx="0">
                  <c:v>34</c:v>
                </c:pt>
                <c:pt idx="1">
                  <c:v>0</c:v>
                </c:pt>
                <c:pt idx="2">
                  <c:v>38</c:v>
                </c:pt>
                <c:pt idx="3">
                  <c:v>72</c:v>
                </c:pt>
              </c:numCache>
            </c:numRef>
          </c:val>
          <c:extLst>
            <c:ext xmlns:c16="http://schemas.microsoft.com/office/drawing/2014/chart" uri="{C3380CC4-5D6E-409C-BE32-E72D297353CC}">
              <c16:uniqueId val="{00000006-C869-49EB-8C1F-9C99189592E8}"/>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C869-49EB-8C1F-9C99189592E8}"/>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C869-49EB-8C1F-9C99189592E8}"/>
              </c:ext>
            </c:extLst>
          </c:dPt>
          <c:dPt>
            <c:idx val="2"/>
            <c:bubble3D val="0"/>
            <c:spPr>
              <a:noFill/>
              <a:ln w="19050">
                <a:noFill/>
              </a:ln>
              <a:effectLst/>
            </c:spPr>
            <c:extLst>
              <c:ext xmlns:c16="http://schemas.microsoft.com/office/drawing/2014/chart" uri="{C3380CC4-5D6E-409C-BE32-E72D297353CC}">
                <c16:uniqueId val="{0000000C-C869-49EB-8C1F-9C99189592E8}"/>
              </c:ext>
            </c:extLst>
          </c:dPt>
          <c:cat>
            <c:strRef>
              <c:f>Chart!$D$45:$D$47</c:f>
              <c:strCache>
                <c:ptCount val="3"/>
                <c:pt idx="0">
                  <c:v>PStart</c:v>
                </c:pt>
                <c:pt idx="1">
                  <c:v>Pointer</c:v>
                </c:pt>
                <c:pt idx="2">
                  <c:v>PEnd</c:v>
                </c:pt>
              </c:strCache>
            </c:strRef>
          </c:cat>
          <c:val>
            <c:numRef>
              <c:f>Chart!$G$114:$G$116</c:f>
              <c:numCache>
                <c:formatCode>#,##0_);[Red]\(#,##0\)</c:formatCode>
                <c:ptCount val="3"/>
                <c:pt idx="0">
                  <c:v>11.46</c:v>
                </c:pt>
                <c:pt idx="1">
                  <c:v>1.08</c:v>
                </c:pt>
                <c:pt idx="2">
                  <c:v>131.46</c:v>
                </c:pt>
              </c:numCache>
            </c:numRef>
          </c:val>
          <c:extLst>
            <c:ext xmlns:c16="http://schemas.microsoft.com/office/drawing/2014/chart" uri="{C3380CC4-5D6E-409C-BE32-E72D297353CC}">
              <c16:uniqueId val="{0000000D-C869-49EB-8C1F-9C99189592E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solidFill>
                <a:schemeClr val="accent6"/>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7DD-4BB9-92B9-51C29E84CB56}"/>
              </c:ext>
            </c:extLst>
          </c:dPt>
          <c:dPt>
            <c:idx val="1"/>
            <c:bubble3D val="0"/>
            <c:spPr>
              <a:pattFill prst="pct25">
                <a:fgClr>
                  <a:srgbClr val="76232F"/>
                </a:fgClr>
                <a:bgClr>
                  <a:sysClr val="window" lastClr="FFFFFF"/>
                </a:bgClr>
              </a:patt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7DD-4BB9-92B9-51C29E84CB56}"/>
              </c:ext>
            </c:extLst>
          </c:dPt>
          <c:dPt>
            <c:idx val="2"/>
            <c:bubble3D val="0"/>
            <c:spPr>
              <a:solidFill>
                <a:schemeClr val="bg1"/>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A7DD-4BB9-92B9-51C29E84CB56}"/>
              </c:ext>
            </c:extLst>
          </c:dPt>
          <c:dPt>
            <c:idx val="3"/>
            <c:bubble3D val="0"/>
            <c:spPr>
              <a:noFill/>
              <a:ln w="19050">
                <a:noFill/>
              </a:ln>
              <a:effectLst/>
            </c:spPr>
            <c:extLst>
              <c:ext xmlns:c16="http://schemas.microsoft.com/office/drawing/2014/chart" uri="{C3380CC4-5D6E-409C-BE32-E72D297353CC}">
                <c16:uniqueId val="{00000007-4F11-4F6E-BEFF-B750E9F65650}"/>
              </c:ext>
            </c:extLst>
          </c:dPt>
          <c:cat>
            <c:strRef>
              <c:f>Chart!$D$45:$D$47</c:f>
              <c:strCache>
                <c:ptCount val="3"/>
                <c:pt idx="0">
                  <c:v>PStart</c:v>
                </c:pt>
                <c:pt idx="1">
                  <c:v>Pointer</c:v>
                </c:pt>
                <c:pt idx="2">
                  <c:v>PEnd</c:v>
                </c:pt>
              </c:strCache>
            </c:strRef>
          </c:cat>
          <c:val>
            <c:numRef>
              <c:f>Chart!$G$121:$G$124</c:f>
              <c:numCache>
                <c:formatCode>#,##0_);[Red]\(#,##0\)</c:formatCode>
                <c:ptCount val="4"/>
                <c:pt idx="0">
                  <c:v>60</c:v>
                </c:pt>
                <c:pt idx="1">
                  <c:v>0</c:v>
                </c:pt>
                <c:pt idx="2">
                  <c:v>249</c:v>
                </c:pt>
                <c:pt idx="3">
                  <c:v>309</c:v>
                </c:pt>
              </c:numCache>
            </c:numRef>
          </c:val>
          <c:extLst>
            <c:ext xmlns:c16="http://schemas.microsoft.com/office/drawing/2014/chart" uri="{C3380CC4-5D6E-409C-BE32-E72D297353CC}">
              <c16:uniqueId val="{00000006-A7DD-4BB9-92B9-51C29E84CB56}"/>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A7DD-4BB9-92B9-51C29E84CB56}"/>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A7DD-4BB9-92B9-51C29E84CB56}"/>
              </c:ext>
            </c:extLst>
          </c:dPt>
          <c:dPt>
            <c:idx val="2"/>
            <c:bubble3D val="0"/>
            <c:spPr>
              <a:noFill/>
              <a:ln w="19050">
                <a:noFill/>
              </a:ln>
              <a:effectLst/>
            </c:spPr>
            <c:extLst>
              <c:ext xmlns:c16="http://schemas.microsoft.com/office/drawing/2014/chart" uri="{C3380CC4-5D6E-409C-BE32-E72D297353CC}">
                <c16:uniqueId val="{0000000C-A7DD-4BB9-92B9-51C29E84CB56}"/>
              </c:ext>
            </c:extLst>
          </c:dPt>
          <c:cat>
            <c:strRef>
              <c:f>Chart!$D$45:$D$47</c:f>
              <c:strCache>
                <c:ptCount val="3"/>
                <c:pt idx="0">
                  <c:v>PStart</c:v>
                </c:pt>
                <c:pt idx="1">
                  <c:v>Pointer</c:v>
                </c:pt>
                <c:pt idx="2">
                  <c:v>PEnd</c:v>
                </c:pt>
              </c:strCache>
            </c:strRef>
          </c:cat>
          <c:val>
            <c:numRef>
              <c:f>Chart!$G$125:$G$127</c:f>
              <c:numCache>
                <c:formatCode>#,##0_);[Red]\(#,##0\)</c:formatCode>
                <c:ptCount val="3"/>
                <c:pt idx="0">
                  <c:v>57.682499999999997</c:v>
                </c:pt>
                <c:pt idx="1">
                  <c:v>4.6349999999999998</c:v>
                </c:pt>
                <c:pt idx="2">
                  <c:v>555.6825</c:v>
                </c:pt>
              </c:numCache>
            </c:numRef>
          </c:val>
          <c:extLst>
            <c:ext xmlns:c16="http://schemas.microsoft.com/office/drawing/2014/chart" uri="{C3380CC4-5D6E-409C-BE32-E72D297353CC}">
              <c16:uniqueId val="{0000000D-A7DD-4BB9-92B9-51C29E84CB5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lumMod val="50000"/>
              </a:schemeClr>
            </a:solidFill>
            <a:ln>
              <a:solidFill>
                <a:schemeClr val="accent4">
                  <a:lumMod val="50000"/>
                </a:schemeClr>
              </a:solidFill>
            </a:ln>
            <a:effectLst>
              <a:outerShdw blurRad="50800" dist="38100" dir="8100000" algn="tr" rotWithShape="0">
                <a:prstClr val="black">
                  <a:alpha val="40000"/>
                </a:prstClr>
              </a:outerShdw>
            </a:effectLst>
          </c:spPr>
          <c:dPt>
            <c:idx val="0"/>
            <c:bubble3D val="0"/>
            <c:spPr>
              <a:solidFill>
                <a:schemeClr val="accent4">
                  <a:lumMod val="50000"/>
                </a:schemeClr>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C8D-4FCA-8476-E5AFCFC1EA30}"/>
              </c:ext>
            </c:extLst>
          </c:dPt>
          <c:dPt>
            <c:idx val="1"/>
            <c:bubble3D val="0"/>
            <c:spPr>
              <a:pattFill prst="pct25">
                <a:fgClr>
                  <a:srgbClr val="009B77">
                    <a:lumMod val="50000"/>
                  </a:srgbClr>
                </a:fgClr>
                <a:bgClr>
                  <a:sysClr val="window" lastClr="FFFFFF"/>
                </a:bgClr>
              </a:patt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C8D-4FCA-8476-E5AFCFC1EA30}"/>
              </c:ext>
            </c:extLst>
          </c:dPt>
          <c:dPt>
            <c:idx val="2"/>
            <c:bubble3D val="0"/>
            <c:spPr>
              <a:solidFill>
                <a:schemeClr val="bg1"/>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DC8D-4FCA-8476-E5AFCFC1EA30}"/>
              </c:ext>
            </c:extLst>
          </c:dPt>
          <c:dPt>
            <c:idx val="3"/>
            <c:bubble3D val="0"/>
            <c:spPr>
              <a:noFill/>
              <a:ln w="19050">
                <a:noFill/>
              </a:ln>
              <a:effectLst/>
            </c:spPr>
            <c:extLst>
              <c:ext xmlns:c16="http://schemas.microsoft.com/office/drawing/2014/chart" uri="{C3380CC4-5D6E-409C-BE32-E72D297353CC}">
                <c16:uniqueId val="{00000007-9E60-49DD-B6EF-C36B48EB7785}"/>
              </c:ext>
            </c:extLst>
          </c:dPt>
          <c:cat>
            <c:strRef>
              <c:f>Chart!$D$45:$D$47</c:f>
              <c:strCache>
                <c:ptCount val="3"/>
                <c:pt idx="0">
                  <c:v>PStart</c:v>
                </c:pt>
                <c:pt idx="1">
                  <c:v>Pointer</c:v>
                </c:pt>
                <c:pt idx="2">
                  <c:v>PEnd</c:v>
                </c:pt>
              </c:strCache>
            </c:strRef>
          </c:cat>
          <c:val>
            <c:numRef>
              <c:f>Chart!$H$110:$H$113</c:f>
              <c:numCache>
                <c:formatCode>#,##0_);[Red]\(#,##0\)</c:formatCode>
                <c:ptCount val="4"/>
                <c:pt idx="0">
                  <c:v>34</c:v>
                </c:pt>
                <c:pt idx="1">
                  <c:v>0</c:v>
                </c:pt>
                <c:pt idx="2">
                  <c:v>38</c:v>
                </c:pt>
                <c:pt idx="3">
                  <c:v>72</c:v>
                </c:pt>
              </c:numCache>
            </c:numRef>
          </c:val>
          <c:extLst>
            <c:ext xmlns:c16="http://schemas.microsoft.com/office/drawing/2014/chart" uri="{C3380CC4-5D6E-409C-BE32-E72D297353CC}">
              <c16:uniqueId val="{00000006-DC8D-4FCA-8476-E5AFCFC1EA30}"/>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DC8D-4FCA-8476-E5AFCFC1EA30}"/>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DC8D-4FCA-8476-E5AFCFC1EA30}"/>
              </c:ext>
            </c:extLst>
          </c:dPt>
          <c:dPt>
            <c:idx val="2"/>
            <c:bubble3D val="0"/>
            <c:spPr>
              <a:noFill/>
              <a:ln w="19050">
                <a:noFill/>
              </a:ln>
              <a:effectLst/>
            </c:spPr>
            <c:extLst>
              <c:ext xmlns:c16="http://schemas.microsoft.com/office/drawing/2014/chart" uri="{C3380CC4-5D6E-409C-BE32-E72D297353CC}">
                <c16:uniqueId val="{0000000C-DC8D-4FCA-8476-E5AFCFC1EA30}"/>
              </c:ext>
            </c:extLst>
          </c:dPt>
          <c:cat>
            <c:strRef>
              <c:f>Chart!$D$45:$D$47</c:f>
              <c:strCache>
                <c:ptCount val="3"/>
                <c:pt idx="0">
                  <c:v>PStart</c:v>
                </c:pt>
                <c:pt idx="1">
                  <c:v>Pointer</c:v>
                </c:pt>
                <c:pt idx="2">
                  <c:v>PEnd</c:v>
                </c:pt>
              </c:strCache>
            </c:strRef>
          </c:cat>
          <c:val>
            <c:numRef>
              <c:f>Chart!$H$114:$H$116</c:f>
              <c:numCache>
                <c:formatCode>#,##0_);[Red]\(#,##0\)</c:formatCode>
                <c:ptCount val="3"/>
                <c:pt idx="0">
                  <c:v>11.46</c:v>
                </c:pt>
                <c:pt idx="1">
                  <c:v>1.08</c:v>
                </c:pt>
                <c:pt idx="2">
                  <c:v>131.46</c:v>
                </c:pt>
              </c:numCache>
            </c:numRef>
          </c:val>
          <c:extLst>
            <c:ext xmlns:c16="http://schemas.microsoft.com/office/drawing/2014/chart" uri="{C3380CC4-5D6E-409C-BE32-E72D297353CC}">
              <c16:uniqueId val="{0000000D-DC8D-4FCA-8476-E5AFCFC1EA3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solidFill>
            <a:ln>
              <a:solidFill>
                <a:schemeClr val="accent4"/>
              </a:solidFill>
            </a:ln>
            <a:effectLst>
              <a:outerShdw blurRad="50800" dist="38100" dir="8100000" algn="tr" rotWithShape="0">
                <a:prstClr val="black">
                  <a:alpha val="40000"/>
                </a:prstClr>
              </a:outerShdw>
            </a:effectLst>
          </c:spPr>
          <c:dPt>
            <c:idx val="0"/>
            <c:bubble3D val="0"/>
            <c:spPr>
              <a:solidFill>
                <a:schemeClr val="accent4"/>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902-4C5C-B28E-3104862DE5A3}"/>
              </c:ext>
            </c:extLst>
          </c:dPt>
          <c:dPt>
            <c:idx val="1"/>
            <c:bubble3D val="0"/>
            <c:spPr>
              <a:pattFill prst="pct25">
                <a:fgClr>
                  <a:srgbClr val="009B77"/>
                </a:fgClr>
                <a:bgClr>
                  <a:sysClr val="window" lastClr="FFFFFF"/>
                </a:bgClr>
              </a:patt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902-4C5C-B28E-3104862DE5A3}"/>
              </c:ext>
            </c:extLst>
          </c:dPt>
          <c:dPt>
            <c:idx val="2"/>
            <c:bubble3D val="0"/>
            <c:spPr>
              <a:solidFill>
                <a:schemeClr val="bg1"/>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7902-4C5C-B28E-3104862DE5A3}"/>
              </c:ext>
            </c:extLst>
          </c:dPt>
          <c:dPt>
            <c:idx val="3"/>
            <c:bubble3D val="0"/>
            <c:spPr>
              <a:noFill/>
              <a:ln w="19050">
                <a:noFill/>
              </a:ln>
              <a:effectLst/>
            </c:spPr>
            <c:extLst>
              <c:ext xmlns:c16="http://schemas.microsoft.com/office/drawing/2014/chart" uri="{C3380CC4-5D6E-409C-BE32-E72D297353CC}">
                <c16:uniqueId val="{00000007-2D57-4577-A293-0F572B561EBE}"/>
              </c:ext>
            </c:extLst>
          </c:dPt>
          <c:cat>
            <c:strRef>
              <c:f>Chart!$D$45:$D$47</c:f>
              <c:strCache>
                <c:ptCount val="3"/>
                <c:pt idx="0">
                  <c:v>PStart</c:v>
                </c:pt>
                <c:pt idx="1">
                  <c:v>Pointer</c:v>
                </c:pt>
                <c:pt idx="2">
                  <c:v>PEnd</c:v>
                </c:pt>
              </c:strCache>
            </c:strRef>
          </c:cat>
          <c:val>
            <c:numRef>
              <c:f>Chart!$H$121:$H$124</c:f>
              <c:numCache>
                <c:formatCode>#,##0_);[Red]\(#,##0\)</c:formatCode>
                <c:ptCount val="4"/>
                <c:pt idx="0">
                  <c:v>60</c:v>
                </c:pt>
                <c:pt idx="1">
                  <c:v>0</c:v>
                </c:pt>
                <c:pt idx="2">
                  <c:v>249</c:v>
                </c:pt>
                <c:pt idx="3">
                  <c:v>309</c:v>
                </c:pt>
              </c:numCache>
            </c:numRef>
          </c:val>
          <c:extLst>
            <c:ext xmlns:c16="http://schemas.microsoft.com/office/drawing/2014/chart" uri="{C3380CC4-5D6E-409C-BE32-E72D297353CC}">
              <c16:uniqueId val="{00000006-7902-4C5C-B28E-3104862DE5A3}"/>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7902-4C5C-B28E-3104862DE5A3}"/>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7902-4C5C-B28E-3104862DE5A3}"/>
              </c:ext>
            </c:extLst>
          </c:dPt>
          <c:dPt>
            <c:idx val="2"/>
            <c:bubble3D val="0"/>
            <c:spPr>
              <a:noFill/>
              <a:ln w="19050">
                <a:noFill/>
              </a:ln>
              <a:effectLst/>
            </c:spPr>
            <c:extLst>
              <c:ext xmlns:c16="http://schemas.microsoft.com/office/drawing/2014/chart" uri="{C3380CC4-5D6E-409C-BE32-E72D297353CC}">
                <c16:uniqueId val="{0000000C-7902-4C5C-B28E-3104862DE5A3}"/>
              </c:ext>
            </c:extLst>
          </c:dPt>
          <c:cat>
            <c:strRef>
              <c:f>Chart!$D$45:$D$47</c:f>
              <c:strCache>
                <c:ptCount val="3"/>
                <c:pt idx="0">
                  <c:v>PStart</c:v>
                </c:pt>
                <c:pt idx="1">
                  <c:v>Pointer</c:v>
                </c:pt>
                <c:pt idx="2">
                  <c:v>PEnd</c:v>
                </c:pt>
              </c:strCache>
            </c:strRef>
          </c:cat>
          <c:val>
            <c:numRef>
              <c:f>Chart!$H$125:$H$127</c:f>
              <c:numCache>
                <c:formatCode>#,##0_);[Red]\(#,##0\)</c:formatCode>
                <c:ptCount val="3"/>
                <c:pt idx="0">
                  <c:v>57.682499999999997</c:v>
                </c:pt>
                <c:pt idx="1">
                  <c:v>4.6349999999999998</c:v>
                </c:pt>
                <c:pt idx="2">
                  <c:v>555.6825</c:v>
                </c:pt>
              </c:numCache>
            </c:numRef>
          </c:val>
          <c:extLst>
            <c:ext xmlns:c16="http://schemas.microsoft.com/office/drawing/2014/chart" uri="{C3380CC4-5D6E-409C-BE32-E72D297353CC}">
              <c16:uniqueId val="{0000000D-7902-4C5C-B28E-3104862DE5A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lumMod val="50000"/>
              </a:schemeClr>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lumMod val="50000"/>
                </a:schemeClr>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9F6-427F-8878-FFF881113A9E}"/>
              </c:ext>
            </c:extLst>
          </c:dPt>
          <c:dPt>
            <c:idx val="1"/>
            <c:bubble3D val="0"/>
            <c:spPr>
              <a:pattFill prst="pct25">
                <a:fgClr>
                  <a:srgbClr val="002D72">
                    <a:lumMod val="50000"/>
                  </a:srgbClr>
                </a:fgClr>
                <a:bgClr>
                  <a:sysClr val="window" lastClr="FFFFFF"/>
                </a:bgClr>
              </a:patt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9F6-427F-8878-FFF881113A9E}"/>
              </c:ext>
            </c:extLst>
          </c:dPt>
          <c:dPt>
            <c:idx val="2"/>
            <c:bubble3D val="0"/>
            <c:spPr>
              <a:solidFill>
                <a:schemeClr val="bg1"/>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99F6-427F-8878-FFF881113A9E}"/>
              </c:ext>
            </c:extLst>
          </c:dPt>
          <c:dPt>
            <c:idx val="3"/>
            <c:bubble3D val="0"/>
            <c:spPr>
              <a:noFill/>
              <a:ln w="19050">
                <a:noFill/>
              </a:ln>
              <a:effectLst/>
            </c:spPr>
            <c:extLst>
              <c:ext xmlns:c16="http://schemas.microsoft.com/office/drawing/2014/chart" uri="{C3380CC4-5D6E-409C-BE32-E72D297353CC}">
                <c16:uniqueId val="{00000007-2887-428D-9D7C-9D200D604985}"/>
              </c:ext>
            </c:extLst>
          </c:dPt>
          <c:cat>
            <c:strRef>
              <c:f>Chart!$D$45:$D$47</c:f>
              <c:strCache>
                <c:ptCount val="3"/>
                <c:pt idx="0">
                  <c:v>PStart</c:v>
                </c:pt>
                <c:pt idx="1">
                  <c:v>Pointer</c:v>
                </c:pt>
                <c:pt idx="2">
                  <c:v>PEnd</c:v>
                </c:pt>
              </c:strCache>
            </c:strRef>
          </c:cat>
          <c:val>
            <c:numRef>
              <c:f>Chart!$E$133:$E$136</c:f>
              <c:numCache>
                <c:formatCode>#,##0_);[Red]\(#,##0\)</c:formatCode>
                <c:ptCount val="4"/>
                <c:pt idx="0">
                  <c:v>162</c:v>
                </c:pt>
                <c:pt idx="1">
                  <c:v>127</c:v>
                </c:pt>
                <c:pt idx="2">
                  <c:v>86</c:v>
                </c:pt>
                <c:pt idx="3">
                  <c:v>375</c:v>
                </c:pt>
              </c:numCache>
            </c:numRef>
          </c:val>
          <c:extLst>
            <c:ext xmlns:c16="http://schemas.microsoft.com/office/drawing/2014/chart" uri="{C3380CC4-5D6E-409C-BE32-E72D297353CC}">
              <c16:uniqueId val="{00000006-99F6-427F-8878-FFF881113A9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99F6-427F-8878-FFF881113A9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99F6-427F-8878-FFF881113A9E}"/>
              </c:ext>
            </c:extLst>
          </c:dPt>
          <c:dPt>
            <c:idx val="2"/>
            <c:bubble3D val="0"/>
            <c:spPr>
              <a:noFill/>
              <a:ln w="19050">
                <a:noFill/>
              </a:ln>
              <a:effectLst/>
            </c:spPr>
            <c:extLst>
              <c:ext xmlns:c16="http://schemas.microsoft.com/office/drawing/2014/chart" uri="{C3380CC4-5D6E-409C-BE32-E72D297353CC}">
                <c16:uniqueId val="{0000000C-99F6-427F-8878-FFF881113A9E}"/>
              </c:ext>
            </c:extLst>
          </c:dPt>
          <c:cat>
            <c:strRef>
              <c:f>Chart!$D$45:$D$47</c:f>
              <c:strCache>
                <c:ptCount val="3"/>
                <c:pt idx="0">
                  <c:v>PStart</c:v>
                </c:pt>
                <c:pt idx="1">
                  <c:v>Pointer</c:v>
                </c:pt>
                <c:pt idx="2">
                  <c:v>PEnd</c:v>
                </c:pt>
              </c:strCache>
            </c:strRef>
          </c:cat>
          <c:val>
            <c:numRef>
              <c:f>Chart!$E$137:$E$139</c:f>
              <c:numCache>
                <c:formatCode>#,##0_);[Red]\(#,##0\)</c:formatCode>
                <c:ptCount val="3"/>
                <c:pt idx="0">
                  <c:v>47.1875</c:v>
                </c:pt>
                <c:pt idx="1">
                  <c:v>5.625</c:v>
                </c:pt>
                <c:pt idx="2">
                  <c:v>697.1875</c:v>
                </c:pt>
              </c:numCache>
            </c:numRef>
          </c:val>
          <c:extLst>
            <c:ext xmlns:c16="http://schemas.microsoft.com/office/drawing/2014/chart" uri="{C3380CC4-5D6E-409C-BE32-E72D297353CC}">
              <c16:uniqueId val="{0000000D-99F6-427F-8878-FFF881113A9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8F8B-4853-B9DC-D2795AD4AB62}"/>
              </c:ext>
            </c:extLst>
          </c:dPt>
          <c:dPt>
            <c:idx val="1"/>
            <c:bubble3D val="0"/>
            <c:spPr>
              <a:pattFill prst="pct25">
                <a:fgClr>
                  <a:srgbClr val="002D72"/>
                </a:fgClr>
                <a:bgClr>
                  <a:sysClr val="window" lastClr="FFFFFF"/>
                </a:bgClr>
              </a:patt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8F8B-4853-B9DC-D2795AD4AB62}"/>
              </c:ext>
            </c:extLst>
          </c:dPt>
          <c:dPt>
            <c:idx val="2"/>
            <c:bubble3D val="0"/>
            <c:spPr>
              <a:solidFill>
                <a:schemeClr val="bg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8F8B-4853-B9DC-D2795AD4AB62}"/>
              </c:ext>
            </c:extLst>
          </c:dPt>
          <c:dPt>
            <c:idx val="3"/>
            <c:bubble3D val="0"/>
            <c:spPr>
              <a:noFill/>
              <a:ln w="19050">
                <a:noFill/>
              </a:ln>
              <a:effectLst/>
            </c:spPr>
            <c:extLst>
              <c:ext xmlns:c16="http://schemas.microsoft.com/office/drawing/2014/chart" uri="{C3380CC4-5D6E-409C-BE32-E72D297353CC}">
                <c16:uniqueId val="{00000007-4A43-4616-97E4-AA33CCEA4ED4}"/>
              </c:ext>
            </c:extLst>
          </c:dPt>
          <c:cat>
            <c:strRef>
              <c:f>Chart!$D$45:$D$47</c:f>
              <c:strCache>
                <c:ptCount val="3"/>
                <c:pt idx="0">
                  <c:v>PStart</c:v>
                </c:pt>
                <c:pt idx="1">
                  <c:v>Pointer</c:v>
                </c:pt>
                <c:pt idx="2">
                  <c:v>PEnd</c:v>
                </c:pt>
              </c:strCache>
            </c:strRef>
          </c:cat>
          <c:val>
            <c:numRef>
              <c:f>Chart!$E$144:$E$147</c:f>
              <c:numCache>
                <c:formatCode>#,##0_);[Red]\(#,##0\)</c:formatCode>
                <c:ptCount val="4"/>
                <c:pt idx="0">
                  <c:v>310</c:v>
                </c:pt>
                <c:pt idx="1">
                  <c:v>138</c:v>
                </c:pt>
                <c:pt idx="2">
                  <c:v>361</c:v>
                </c:pt>
                <c:pt idx="3">
                  <c:v>809</c:v>
                </c:pt>
              </c:numCache>
            </c:numRef>
          </c:val>
          <c:extLst>
            <c:ext xmlns:c16="http://schemas.microsoft.com/office/drawing/2014/chart" uri="{C3380CC4-5D6E-409C-BE32-E72D297353CC}">
              <c16:uniqueId val="{00000006-8F8B-4853-B9DC-D2795AD4AB62}"/>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8F8B-4853-B9DC-D2795AD4AB62}"/>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8F8B-4853-B9DC-D2795AD4AB62}"/>
              </c:ext>
            </c:extLst>
          </c:dPt>
          <c:dPt>
            <c:idx val="2"/>
            <c:bubble3D val="0"/>
            <c:spPr>
              <a:noFill/>
              <a:ln w="19050">
                <a:noFill/>
              </a:ln>
              <a:effectLst/>
            </c:spPr>
            <c:extLst>
              <c:ext xmlns:c16="http://schemas.microsoft.com/office/drawing/2014/chart" uri="{C3380CC4-5D6E-409C-BE32-E72D297353CC}">
                <c16:uniqueId val="{0000000C-8F8B-4853-B9DC-D2795AD4AB62}"/>
              </c:ext>
            </c:extLst>
          </c:dPt>
          <c:cat>
            <c:strRef>
              <c:f>Chart!$D$45:$D$47</c:f>
              <c:strCache>
                <c:ptCount val="3"/>
                <c:pt idx="0">
                  <c:v>PStart</c:v>
                </c:pt>
                <c:pt idx="1">
                  <c:v>Pointer</c:v>
                </c:pt>
                <c:pt idx="2">
                  <c:v>PEnd</c:v>
                </c:pt>
              </c:strCache>
            </c:strRef>
          </c:cat>
          <c:val>
            <c:numRef>
              <c:f>Chart!$E$148:$E$150</c:f>
              <c:numCache>
                <c:formatCode>#,##0_);[Red]\(#,##0\)</c:formatCode>
                <c:ptCount val="3"/>
                <c:pt idx="0">
                  <c:v>59.932499999999997</c:v>
                </c:pt>
                <c:pt idx="1">
                  <c:v>12.135</c:v>
                </c:pt>
                <c:pt idx="2">
                  <c:v>1545.9324999999999</c:v>
                </c:pt>
              </c:numCache>
            </c:numRef>
          </c:val>
          <c:extLst>
            <c:ext xmlns:c16="http://schemas.microsoft.com/office/drawing/2014/chart" uri="{C3380CC4-5D6E-409C-BE32-E72D297353CC}">
              <c16:uniqueId val="{0000000D-8F8B-4853-B9DC-D2795AD4AB6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lumMod val="50000"/>
              </a:schemeClr>
            </a:solidFill>
            <a:ln>
              <a:solidFill>
                <a:schemeClr val="accent5">
                  <a:lumMod val="50000"/>
                </a:schemeClr>
              </a:solidFill>
            </a:ln>
            <a:effectLst>
              <a:outerShdw blurRad="50800" dist="38100" dir="8100000" algn="tr" rotWithShape="0">
                <a:prstClr val="black">
                  <a:alpha val="40000"/>
                </a:prstClr>
              </a:outerShdw>
            </a:effectLst>
          </c:spPr>
          <c:dPt>
            <c:idx val="0"/>
            <c:bubble3D val="0"/>
            <c:spPr>
              <a:solidFill>
                <a:schemeClr val="accent5">
                  <a:lumMod val="50000"/>
                </a:schemeClr>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7C1-41EA-A85C-C21B3CBF501C}"/>
              </c:ext>
            </c:extLst>
          </c:dPt>
          <c:dPt>
            <c:idx val="1"/>
            <c:bubble3D val="0"/>
            <c:spPr>
              <a:pattFill prst="pct25">
                <a:fgClr>
                  <a:srgbClr val="F1C400">
                    <a:lumMod val="50000"/>
                  </a:srgbClr>
                </a:fgClr>
                <a:bgClr>
                  <a:sysClr val="window" lastClr="FFFFFF"/>
                </a:bgClr>
              </a:patt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7C1-41EA-A85C-C21B3CBF501C}"/>
              </c:ext>
            </c:extLst>
          </c:dPt>
          <c:dPt>
            <c:idx val="2"/>
            <c:bubble3D val="0"/>
            <c:spPr>
              <a:solidFill>
                <a:schemeClr val="bg1"/>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E7C1-41EA-A85C-C21B3CBF501C}"/>
              </c:ext>
            </c:extLst>
          </c:dPt>
          <c:dPt>
            <c:idx val="3"/>
            <c:bubble3D val="0"/>
            <c:spPr>
              <a:noFill/>
              <a:ln w="19050">
                <a:noFill/>
              </a:ln>
              <a:effectLst/>
            </c:spPr>
            <c:extLst>
              <c:ext xmlns:c16="http://schemas.microsoft.com/office/drawing/2014/chart" uri="{C3380CC4-5D6E-409C-BE32-E72D297353CC}">
                <c16:uniqueId val="{00000007-1453-42FD-9F91-72A5702F8526}"/>
              </c:ext>
            </c:extLst>
          </c:dPt>
          <c:cat>
            <c:strRef>
              <c:f>Chart!$D$45:$D$47</c:f>
              <c:strCache>
                <c:ptCount val="3"/>
                <c:pt idx="0">
                  <c:v>PStart</c:v>
                </c:pt>
                <c:pt idx="1">
                  <c:v>Pointer</c:v>
                </c:pt>
                <c:pt idx="2">
                  <c:v>PEnd</c:v>
                </c:pt>
              </c:strCache>
            </c:strRef>
          </c:cat>
          <c:val>
            <c:numRef>
              <c:f>Chart!$F$133:$F$136</c:f>
              <c:numCache>
                <c:formatCode>#,##0_);[Red]\(#,##0\)</c:formatCode>
                <c:ptCount val="4"/>
                <c:pt idx="0">
                  <c:v>162</c:v>
                </c:pt>
                <c:pt idx="1">
                  <c:v>127</c:v>
                </c:pt>
                <c:pt idx="2">
                  <c:v>86</c:v>
                </c:pt>
                <c:pt idx="3">
                  <c:v>375</c:v>
                </c:pt>
              </c:numCache>
            </c:numRef>
          </c:val>
          <c:extLst>
            <c:ext xmlns:c16="http://schemas.microsoft.com/office/drawing/2014/chart" uri="{C3380CC4-5D6E-409C-BE32-E72D297353CC}">
              <c16:uniqueId val="{00000006-E7C1-41EA-A85C-C21B3CBF501C}"/>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E7C1-41EA-A85C-C21B3CBF501C}"/>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E7C1-41EA-A85C-C21B3CBF501C}"/>
              </c:ext>
            </c:extLst>
          </c:dPt>
          <c:dPt>
            <c:idx val="2"/>
            <c:bubble3D val="0"/>
            <c:spPr>
              <a:noFill/>
              <a:ln w="19050">
                <a:noFill/>
              </a:ln>
              <a:effectLst/>
            </c:spPr>
            <c:extLst>
              <c:ext xmlns:c16="http://schemas.microsoft.com/office/drawing/2014/chart" uri="{C3380CC4-5D6E-409C-BE32-E72D297353CC}">
                <c16:uniqueId val="{0000000C-E7C1-41EA-A85C-C21B3CBF501C}"/>
              </c:ext>
            </c:extLst>
          </c:dPt>
          <c:cat>
            <c:strRef>
              <c:f>Chart!$D$45:$D$47</c:f>
              <c:strCache>
                <c:ptCount val="3"/>
                <c:pt idx="0">
                  <c:v>PStart</c:v>
                </c:pt>
                <c:pt idx="1">
                  <c:v>Pointer</c:v>
                </c:pt>
                <c:pt idx="2">
                  <c:v>PEnd</c:v>
                </c:pt>
              </c:strCache>
            </c:strRef>
          </c:cat>
          <c:val>
            <c:numRef>
              <c:f>Chart!$F$137:$F$139</c:f>
              <c:numCache>
                <c:formatCode>#,##0_);[Red]\(#,##0\)</c:formatCode>
                <c:ptCount val="3"/>
                <c:pt idx="0">
                  <c:v>63.1875</c:v>
                </c:pt>
                <c:pt idx="1">
                  <c:v>5.625</c:v>
                </c:pt>
                <c:pt idx="2">
                  <c:v>681.1875</c:v>
                </c:pt>
              </c:numCache>
            </c:numRef>
          </c:val>
          <c:extLst>
            <c:ext xmlns:c16="http://schemas.microsoft.com/office/drawing/2014/chart" uri="{C3380CC4-5D6E-409C-BE32-E72D297353CC}">
              <c16:uniqueId val="{0000000D-E7C1-41EA-A85C-C21B3CBF501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solidFill>
            <a:ln>
              <a:solidFill>
                <a:schemeClr val="accent5"/>
              </a:solidFill>
            </a:ln>
            <a:effectLst>
              <a:outerShdw blurRad="50800" dist="38100" dir="8100000" algn="tr" rotWithShape="0">
                <a:prstClr val="black">
                  <a:alpha val="40000"/>
                </a:prstClr>
              </a:outerShdw>
            </a:effectLst>
          </c:spPr>
          <c:dPt>
            <c:idx val="0"/>
            <c:bubble3D val="0"/>
            <c:spPr>
              <a:solidFill>
                <a:schemeClr val="accent5"/>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F16-4B89-9ED8-A7138BC9168E}"/>
              </c:ext>
            </c:extLst>
          </c:dPt>
          <c:dPt>
            <c:idx val="1"/>
            <c:bubble3D val="0"/>
            <c:spPr>
              <a:pattFill prst="pct25">
                <a:fgClr>
                  <a:srgbClr val="F1C400"/>
                </a:fgClr>
                <a:bgClr>
                  <a:sysClr val="window" lastClr="FFFFFF"/>
                </a:bgClr>
              </a:patt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F16-4B89-9ED8-A7138BC9168E}"/>
              </c:ext>
            </c:extLst>
          </c:dPt>
          <c:dPt>
            <c:idx val="2"/>
            <c:bubble3D val="0"/>
            <c:spPr>
              <a:solidFill>
                <a:schemeClr val="bg1"/>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2F16-4B89-9ED8-A7138BC9168E}"/>
              </c:ext>
            </c:extLst>
          </c:dPt>
          <c:dPt>
            <c:idx val="3"/>
            <c:bubble3D val="0"/>
            <c:spPr>
              <a:noFill/>
              <a:ln w="19050">
                <a:noFill/>
              </a:ln>
              <a:effectLst/>
            </c:spPr>
            <c:extLst>
              <c:ext xmlns:c16="http://schemas.microsoft.com/office/drawing/2014/chart" uri="{C3380CC4-5D6E-409C-BE32-E72D297353CC}">
                <c16:uniqueId val="{00000007-2B24-46AE-943E-A2CC00D79251}"/>
              </c:ext>
            </c:extLst>
          </c:dPt>
          <c:cat>
            <c:strRef>
              <c:f>Chart!$D$45:$D$47</c:f>
              <c:strCache>
                <c:ptCount val="3"/>
                <c:pt idx="0">
                  <c:v>PStart</c:v>
                </c:pt>
                <c:pt idx="1">
                  <c:v>Pointer</c:v>
                </c:pt>
                <c:pt idx="2">
                  <c:v>PEnd</c:v>
                </c:pt>
              </c:strCache>
            </c:strRef>
          </c:cat>
          <c:val>
            <c:numRef>
              <c:f>Chart!$F$144:$F$147</c:f>
              <c:numCache>
                <c:formatCode>#,##0_);[Red]\(#,##0\)</c:formatCode>
                <c:ptCount val="4"/>
                <c:pt idx="0">
                  <c:v>310</c:v>
                </c:pt>
                <c:pt idx="1">
                  <c:v>138</c:v>
                </c:pt>
                <c:pt idx="2">
                  <c:v>361</c:v>
                </c:pt>
                <c:pt idx="3">
                  <c:v>809</c:v>
                </c:pt>
              </c:numCache>
            </c:numRef>
          </c:val>
          <c:extLst>
            <c:ext xmlns:c16="http://schemas.microsoft.com/office/drawing/2014/chart" uri="{C3380CC4-5D6E-409C-BE32-E72D297353CC}">
              <c16:uniqueId val="{00000006-2F16-4B89-9ED8-A7138BC9168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2F16-4B89-9ED8-A7138BC9168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F16-4B89-9ED8-A7138BC9168E}"/>
              </c:ext>
            </c:extLst>
          </c:dPt>
          <c:dPt>
            <c:idx val="2"/>
            <c:bubble3D val="0"/>
            <c:spPr>
              <a:noFill/>
              <a:ln w="19050">
                <a:noFill/>
              </a:ln>
              <a:effectLst/>
            </c:spPr>
            <c:extLst>
              <c:ext xmlns:c16="http://schemas.microsoft.com/office/drawing/2014/chart" uri="{C3380CC4-5D6E-409C-BE32-E72D297353CC}">
                <c16:uniqueId val="{0000000C-2F16-4B89-9ED8-A7138BC9168E}"/>
              </c:ext>
            </c:extLst>
          </c:dPt>
          <c:cat>
            <c:strRef>
              <c:f>Chart!$D$45:$D$47</c:f>
              <c:strCache>
                <c:ptCount val="3"/>
                <c:pt idx="0">
                  <c:v>PStart</c:v>
                </c:pt>
                <c:pt idx="1">
                  <c:v>Pointer</c:v>
                </c:pt>
                <c:pt idx="2">
                  <c:v>PEnd</c:v>
                </c:pt>
              </c:strCache>
            </c:strRef>
          </c:cat>
          <c:val>
            <c:numRef>
              <c:f>Chart!$F$148:$F$150</c:f>
              <c:numCache>
                <c:formatCode>#,##0_);[Red]\(#,##0\)</c:formatCode>
                <c:ptCount val="3"/>
                <c:pt idx="0">
                  <c:v>100.9325</c:v>
                </c:pt>
                <c:pt idx="1">
                  <c:v>12.135</c:v>
                </c:pt>
                <c:pt idx="2">
                  <c:v>1504.9324999999999</c:v>
                </c:pt>
              </c:numCache>
            </c:numRef>
          </c:val>
          <c:extLst>
            <c:ext xmlns:c16="http://schemas.microsoft.com/office/drawing/2014/chart" uri="{C3380CC4-5D6E-409C-BE32-E72D297353CC}">
              <c16:uniqueId val="{0000000D-2F16-4B89-9ED8-A7138BC9168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lumMod val="75000"/>
              </a:schemeClr>
            </a:solidFill>
            <a:ln>
              <a:solidFill>
                <a:schemeClr val="accent6">
                  <a:lumMod val="75000"/>
                </a:schemeClr>
              </a:solidFill>
            </a:ln>
            <a:effectLst>
              <a:outerShdw blurRad="50800" dist="38100" dir="8100000" algn="tr" rotWithShape="0">
                <a:prstClr val="black">
                  <a:alpha val="40000"/>
                </a:prstClr>
              </a:outerShdw>
            </a:effectLst>
          </c:spPr>
          <c:dPt>
            <c:idx val="0"/>
            <c:bubble3D val="0"/>
            <c:spPr>
              <a:solidFill>
                <a:schemeClr val="accent6">
                  <a:lumMod val="75000"/>
                </a:schemeClr>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869-49EB-8C1F-9C99189592E8}"/>
              </c:ext>
            </c:extLst>
          </c:dPt>
          <c:dPt>
            <c:idx val="1"/>
            <c:bubble3D val="0"/>
            <c:spPr>
              <a:pattFill prst="pct25">
                <a:fgClr>
                  <a:srgbClr val="76232F">
                    <a:lumMod val="75000"/>
                  </a:srgbClr>
                </a:fgClr>
                <a:bgClr>
                  <a:sysClr val="window" lastClr="FFFFFF"/>
                </a:bgClr>
              </a:patt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869-49EB-8C1F-9C99189592E8}"/>
              </c:ext>
            </c:extLst>
          </c:dPt>
          <c:dPt>
            <c:idx val="2"/>
            <c:bubble3D val="0"/>
            <c:spPr>
              <a:solidFill>
                <a:schemeClr val="bg1"/>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C869-49EB-8C1F-9C99189592E8}"/>
              </c:ext>
            </c:extLst>
          </c:dPt>
          <c:dPt>
            <c:idx val="3"/>
            <c:bubble3D val="0"/>
            <c:spPr>
              <a:noFill/>
              <a:ln w="19050">
                <a:noFill/>
              </a:ln>
              <a:effectLst/>
            </c:spPr>
            <c:extLst>
              <c:ext xmlns:c16="http://schemas.microsoft.com/office/drawing/2014/chart" uri="{C3380CC4-5D6E-409C-BE32-E72D297353CC}">
                <c16:uniqueId val="{00000007-3049-4D5E-BF44-47701F4FD0D4}"/>
              </c:ext>
            </c:extLst>
          </c:dPt>
          <c:cat>
            <c:strRef>
              <c:f>Chart!$D$45:$D$47</c:f>
              <c:strCache>
                <c:ptCount val="3"/>
                <c:pt idx="0">
                  <c:v>PStart</c:v>
                </c:pt>
                <c:pt idx="1">
                  <c:v>Pointer</c:v>
                </c:pt>
                <c:pt idx="2">
                  <c:v>PEnd</c:v>
                </c:pt>
              </c:strCache>
            </c:strRef>
          </c:cat>
          <c:val>
            <c:numRef>
              <c:f>Chart!$G$133:$G$136</c:f>
              <c:numCache>
                <c:formatCode>#,##0_);[Red]\(#,##0\)</c:formatCode>
                <c:ptCount val="4"/>
                <c:pt idx="0">
                  <c:v>162</c:v>
                </c:pt>
                <c:pt idx="1">
                  <c:v>127</c:v>
                </c:pt>
                <c:pt idx="2">
                  <c:v>86</c:v>
                </c:pt>
                <c:pt idx="3">
                  <c:v>375</c:v>
                </c:pt>
              </c:numCache>
            </c:numRef>
          </c:val>
          <c:extLst>
            <c:ext xmlns:c16="http://schemas.microsoft.com/office/drawing/2014/chart" uri="{C3380CC4-5D6E-409C-BE32-E72D297353CC}">
              <c16:uniqueId val="{00000006-C869-49EB-8C1F-9C99189592E8}"/>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C869-49EB-8C1F-9C99189592E8}"/>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C869-49EB-8C1F-9C99189592E8}"/>
              </c:ext>
            </c:extLst>
          </c:dPt>
          <c:dPt>
            <c:idx val="2"/>
            <c:bubble3D val="0"/>
            <c:spPr>
              <a:noFill/>
              <a:ln w="19050">
                <a:noFill/>
              </a:ln>
              <a:effectLst/>
            </c:spPr>
            <c:extLst>
              <c:ext xmlns:c16="http://schemas.microsoft.com/office/drawing/2014/chart" uri="{C3380CC4-5D6E-409C-BE32-E72D297353CC}">
                <c16:uniqueId val="{0000000C-C869-49EB-8C1F-9C99189592E8}"/>
              </c:ext>
            </c:extLst>
          </c:dPt>
          <c:cat>
            <c:strRef>
              <c:f>Chart!$D$45:$D$47</c:f>
              <c:strCache>
                <c:ptCount val="3"/>
                <c:pt idx="0">
                  <c:v>PStart</c:v>
                </c:pt>
                <c:pt idx="1">
                  <c:v>Pointer</c:v>
                </c:pt>
                <c:pt idx="2">
                  <c:v>PEnd</c:v>
                </c:pt>
              </c:strCache>
            </c:strRef>
          </c:cat>
          <c:val>
            <c:numRef>
              <c:f>Chart!$G$137:$G$139</c:f>
              <c:numCache>
                <c:formatCode>#,##0_);[Red]\(#,##0\)</c:formatCode>
                <c:ptCount val="3"/>
                <c:pt idx="0">
                  <c:v>145.1875</c:v>
                </c:pt>
                <c:pt idx="1">
                  <c:v>5.625</c:v>
                </c:pt>
                <c:pt idx="2">
                  <c:v>599.1875</c:v>
                </c:pt>
              </c:numCache>
            </c:numRef>
          </c:val>
          <c:extLst>
            <c:ext xmlns:c16="http://schemas.microsoft.com/office/drawing/2014/chart" uri="{C3380CC4-5D6E-409C-BE32-E72D297353CC}">
              <c16:uniqueId val="{0000000D-C869-49EB-8C1F-9C99189592E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solidFill>
                <a:schemeClr val="accent6"/>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7DD-4BB9-92B9-51C29E84CB56}"/>
              </c:ext>
            </c:extLst>
          </c:dPt>
          <c:dPt>
            <c:idx val="1"/>
            <c:bubble3D val="0"/>
            <c:spPr>
              <a:pattFill prst="pct25">
                <a:fgClr>
                  <a:srgbClr val="76232F"/>
                </a:fgClr>
                <a:bgClr>
                  <a:sysClr val="window" lastClr="FFFFFF"/>
                </a:bgClr>
              </a:patt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7DD-4BB9-92B9-51C29E84CB56}"/>
              </c:ext>
            </c:extLst>
          </c:dPt>
          <c:dPt>
            <c:idx val="2"/>
            <c:bubble3D val="0"/>
            <c:spPr>
              <a:solidFill>
                <a:schemeClr val="bg1"/>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A7DD-4BB9-92B9-51C29E84CB56}"/>
              </c:ext>
            </c:extLst>
          </c:dPt>
          <c:dPt>
            <c:idx val="3"/>
            <c:bubble3D val="0"/>
            <c:spPr>
              <a:noFill/>
              <a:ln w="19050">
                <a:noFill/>
              </a:ln>
              <a:effectLst/>
            </c:spPr>
            <c:extLst>
              <c:ext xmlns:c16="http://schemas.microsoft.com/office/drawing/2014/chart" uri="{C3380CC4-5D6E-409C-BE32-E72D297353CC}">
                <c16:uniqueId val="{00000007-D109-467F-BED4-812788DB00B6}"/>
              </c:ext>
            </c:extLst>
          </c:dPt>
          <c:cat>
            <c:strRef>
              <c:f>Chart!$D$45:$D$47</c:f>
              <c:strCache>
                <c:ptCount val="3"/>
                <c:pt idx="0">
                  <c:v>PStart</c:v>
                </c:pt>
                <c:pt idx="1">
                  <c:v>Pointer</c:v>
                </c:pt>
                <c:pt idx="2">
                  <c:v>PEnd</c:v>
                </c:pt>
              </c:strCache>
            </c:strRef>
          </c:cat>
          <c:val>
            <c:numRef>
              <c:f>Chart!$G$144:$G$147</c:f>
              <c:numCache>
                <c:formatCode>#,##0_);[Red]\(#,##0\)</c:formatCode>
                <c:ptCount val="4"/>
                <c:pt idx="0">
                  <c:v>310</c:v>
                </c:pt>
                <c:pt idx="1">
                  <c:v>138</c:v>
                </c:pt>
                <c:pt idx="2">
                  <c:v>361</c:v>
                </c:pt>
                <c:pt idx="3">
                  <c:v>809</c:v>
                </c:pt>
              </c:numCache>
            </c:numRef>
          </c:val>
          <c:extLst>
            <c:ext xmlns:c16="http://schemas.microsoft.com/office/drawing/2014/chart" uri="{C3380CC4-5D6E-409C-BE32-E72D297353CC}">
              <c16:uniqueId val="{00000006-A7DD-4BB9-92B9-51C29E84CB56}"/>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A7DD-4BB9-92B9-51C29E84CB56}"/>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A7DD-4BB9-92B9-51C29E84CB56}"/>
              </c:ext>
            </c:extLst>
          </c:dPt>
          <c:dPt>
            <c:idx val="2"/>
            <c:bubble3D val="0"/>
            <c:spPr>
              <a:noFill/>
              <a:ln w="19050">
                <a:noFill/>
              </a:ln>
              <a:effectLst/>
            </c:spPr>
            <c:extLst>
              <c:ext xmlns:c16="http://schemas.microsoft.com/office/drawing/2014/chart" uri="{C3380CC4-5D6E-409C-BE32-E72D297353CC}">
                <c16:uniqueId val="{0000000C-A7DD-4BB9-92B9-51C29E84CB56}"/>
              </c:ext>
            </c:extLst>
          </c:dPt>
          <c:cat>
            <c:strRef>
              <c:f>Chart!$D$45:$D$47</c:f>
              <c:strCache>
                <c:ptCount val="3"/>
                <c:pt idx="0">
                  <c:v>PStart</c:v>
                </c:pt>
                <c:pt idx="1">
                  <c:v>Pointer</c:v>
                </c:pt>
                <c:pt idx="2">
                  <c:v>PEnd</c:v>
                </c:pt>
              </c:strCache>
            </c:strRef>
          </c:cat>
          <c:val>
            <c:numRef>
              <c:f>Chart!$G$148:$G$150</c:f>
              <c:numCache>
                <c:formatCode>#,##0_);[Red]\(#,##0\)</c:formatCode>
                <c:ptCount val="3"/>
                <c:pt idx="0">
                  <c:v>178.9325</c:v>
                </c:pt>
                <c:pt idx="1">
                  <c:v>12.135</c:v>
                </c:pt>
                <c:pt idx="2">
                  <c:v>1426.9324999999999</c:v>
                </c:pt>
              </c:numCache>
            </c:numRef>
          </c:val>
          <c:extLst>
            <c:ext xmlns:c16="http://schemas.microsoft.com/office/drawing/2014/chart" uri="{C3380CC4-5D6E-409C-BE32-E72D297353CC}">
              <c16:uniqueId val="{0000000D-A7DD-4BB9-92B9-51C29E84CB5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lumMod val="50000"/>
              </a:schemeClr>
            </a:solidFill>
            <a:ln>
              <a:solidFill>
                <a:schemeClr val="accent4">
                  <a:lumMod val="50000"/>
                </a:schemeClr>
              </a:solidFill>
            </a:ln>
            <a:effectLst>
              <a:outerShdw blurRad="50800" dist="38100" dir="8100000" algn="tr" rotWithShape="0">
                <a:prstClr val="black">
                  <a:alpha val="40000"/>
                </a:prstClr>
              </a:outerShdw>
            </a:effectLst>
          </c:spPr>
          <c:dPt>
            <c:idx val="0"/>
            <c:bubble3D val="0"/>
            <c:spPr>
              <a:solidFill>
                <a:schemeClr val="accent4">
                  <a:lumMod val="50000"/>
                </a:schemeClr>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C8D-4FCA-8476-E5AFCFC1EA30}"/>
              </c:ext>
            </c:extLst>
          </c:dPt>
          <c:dPt>
            <c:idx val="1"/>
            <c:bubble3D val="0"/>
            <c:spPr>
              <a:pattFill prst="pct25">
                <a:fgClr>
                  <a:srgbClr val="009B77">
                    <a:lumMod val="50000"/>
                  </a:srgbClr>
                </a:fgClr>
                <a:bgClr>
                  <a:sysClr val="window" lastClr="FFFFFF"/>
                </a:bgClr>
              </a:patt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C8D-4FCA-8476-E5AFCFC1EA30}"/>
              </c:ext>
            </c:extLst>
          </c:dPt>
          <c:dPt>
            <c:idx val="2"/>
            <c:bubble3D val="0"/>
            <c:spPr>
              <a:solidFill>
                <a:schemeClr val="bg1"/>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DC8D-4FCA-8476-E5AFCFC1EA30}"/>
              </c:ext>
            </c:extLst>
          </c:dPt>
          <c:dPt>
            <c:idx val="3"/>
            <c:bubble3D val="0"/>
            <c:spPr>
              <a:noFill/>
              <a:ln w="19050">
                <a:noFill/>
              </a:ln>
              <a:effectLst/>
            </c:spPr>
            <c:extLst>
              <c:ext xmlns:c16="http://schemas.microsoft.com/office/drawing/2014/chart" uri="{C3380CC4-5D6E-409C-BE32-E72D297353CC}">
                <c16:uniqueId val="{00000007-7552-43E7-A327-3050F77F78E6}"/>
              </c:ext>
            </c:extLst>
          </c:dPt>
          <c:cat>
            <c:strRef>
              <c:f>Chart!$D$45:$D$47</c:f>
              <c:strCache>
                <c:ptCount val="3"/>
                <c:pt idx="0">
                  <c:v>PStart</c:v>
                </c:pt>
                <c:pt idx="1">
                  <c:v>Pointer</c:v>
                </c:pt>
                <c:pt idx="2">
                  <c:v>PEnd</c:v>
                </c:pt>
              </c:strCache>
            </c:strRef>
          </c:cat>
          <c:val>
            <c:numRef>
              <c:f>Chart!$H$133:$H$136</c:f>
              <c:numCache>
                <c:formatCode>#,##0_);[Red]\(#,##0\)</c:formatCode>
                <c:ptCount val="4"/>
                <c:pt idx="0">
                  <c:v>162</c:v>
                </c:pt>
                <c:pt idx="1">
                  <c:v>127</c:v>
                </c:pt>
                <c:pt idx="2">
                  <c:v>86</c:v>
                </c:pt>
                <c:pt idx="3">
                  <c:v>375</c:v>
                </c:pt>
              </c:numCache>
            </c:numRef>
          </c:val>
          <c:extLst>
            <c:ext xmlns:c16="http://schemas.microsoft.com/office/drawing/2014/chart" uri="{C3380CC4-5D6E-409C-BE32-E72D297353CC}">
              <c16:uniqueId val="{00000006-DC8D-4FCA-8476-E5AFCFC1EA30}"/>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DC8D-4FCA-8476-E5AFCFC1EA30}"/>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DC8D-4FCA-8476-E5AFCFC1EA30}"/>
              </c:ext>
            </c:extLst>
          </c:dPt>
          <c:dPt>
            <c:idx val="2"/>
            <c:bubble3D val="0"/>
            <c:spPr>
              <a:noFill/>
              <a:ln w="19050">
                <a:noFill/>
              </a:ln>
              <a:effectLst/>
            </c:spPr>
            <c:extLst>
              <c:ext xmlns:c16="http://schemas.microsoft.com/office/drawing/2014/chart" uri="{C3380CC4-5D6E-409C-BE32-E72D297353CC}">
                <c16:uniqueId val="{0000000C-DC8D-4FCA-8476-E5AFCFC1EA30}"/>
              </c:ext>
            </c:extLst>
          </c:dPt>
          <c:cat>
            <c:strRef>
              <c:f>Chart!$D$45:$D$47</c:f>
              <c:strCache>
                <c:ptCount val="3"/>
                <c:pt idx="0">
                  <c:v>PStart</c:v>
                </c:pt>
                <c:pt idx="1">
                  <c:v>Pointer</c:v>
                </c:pt>
                <c:pt idx="2">
                  <c:v>PEnd</c:v>
                </c:pt>
              </c:strCache>
            </c:strRef>
          </c:cat>
          <c:val>
            <c:numRef>
              <c:f>Chart!$H$137:$H$139</c:f>
              <c:numCache>
                <c:formatCode>#,##0_);[Red]\(#,##0\)</c:formatCode>
                <c:ptCount val="3"/>
                <c:pt idx="0">
                  <c:v>286.1875</c:v>
                </c:pt>
                <c:pt idx="1">
                  <c:v>5.625</c:v>
                </c:pt>
                <c:pt idx="2">
                  <c:v>458.1875</c:v>
                </c:pt>
              </c:numCache>
            </c:numRef>
          </c:val>
          <c:extLst>
            <c:ext xmlns:c16="http://schemas.microsoft.com/office/drawing/2014/chart" uri="{C3380CC4-5D6E-409C-BE32-E72D297353CC}">
              <c16:uniqueId val="{0000000D-DC8D-4FCA-8476-E5AFCFC1EA3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0"/>
        <c:ser>
          <c:idx val="0"/>
          <c:order val="0"/>
          <c:spPr>
            <a:solidFill>
              <a:srgbClr val="009B77"/>
            </a:solidFill>
            <a:ln w="19050">
              <a:solidFill>
                <a:srgbClr val="009B77"/>
              </a:solidFill>
            </a:ln>
            <a:effectLst/>
          </c:spPr>
          <c:dPt>
            <c:idx val="0"/>
            <c:bubble3D val="0"/>
            <c:spPr>
              <a:solidFill>
                <a:srgbClr val="009B77"/>
              </a:solidFill>
              <a:ln w="19050">
                <a:solidFill>
                  <a:srgbClr val="009B77"/>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902-4C5C-B28E-3104862DE5A3}"/>
              </c:ext>
            </c:extLst>
          </c:dPt>
          <c:dPt>
            <c:idx val="1"/>
            <c:bubble3D val="0"/>
            <c:spPr>
              <a:pattFill prst="pct25">
                <a:fgClr>
                  <a:srgbClr val="009B77"/>
                </a:fgClr>
                <a:bgClr>
                  <a:sysClr val="window" lastClr="FFFFFF"/>
                </a:bgClr>
              </a:pattFill>
              <a:ln w="19050">
                <a:solidFill>
                  <a:srgbClr val="009B77"/>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902-4C5C-B28E-3104862DE5A3}"/>
              </c:ext>
            </c:extLst>
          </c:dPt>
          <c:dPt>
            <c:idx val="2"/>
            <c:bubble3D val="0"/>
            <c:spPr>
              <a:solidFill>
                <a:sysClr val="window" lastClr="FFFFFF"/>
              </a:solidFill>
              <a:ln w="19050">
                <a:solidFill>
                  <a:srgbClr val="009B77"/>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7902-4C5C-B28E-3104862DE5A3}"/>
              </c:ext>
            </c:extLst>
          </c:dPt>
          <c:dPt>
            <c:idx val="3"/>
            <c:bubble3D val="0"/>
            <c:spPr>
              <a:noFill/>
              <a:ln w="19050">
                <a:noFill/>
              </a:ln>
              <a:effectLst/>
            </c:spPr>
            <c:extLst>
              <c:ext xmlns:c16="http://schemas.microsoft.com/office/drawing/2014/chart" uri="{C3380CC4-5D6E-409C-BE32-E72D297353CC}">
                <c16:uniqueId val="{00000007-A4F7-40B8-BF4B-54C3886F0F0D}"/>
              </c:ext>
            </c:extLst>
          </c:dPt>
          <c:cat>
            <c:strRef>
              <c:f>Chart!$D$45:$D$47</c:f>
              <c:strCache>
                <c:ptCount val="3"/>
                <c:pt idx="0">
                  <c:v>PStart</c:v>
                </c:pt>
                <c:pt idx="1">
                  <c:v>Pointer</c:v>
                </c:pt>
                <c:pt idx="2">
                  <c:v>PEnd</c:v>
                </c:pt>
              </c:strCache>
            </c:strRef>
          </c:cat>
          <c:val>
            <c:numRef>
              <c:f>Chart!$H$144:$H$147</c:f>
              <c:numCache>
                <c:formatCode>#,##0_);[Red]\(#,##0\)</c:formatCode>
                <c:ptCount val="4"/>
                <c:pt idx="0">
                  <c:v>310</c:v>
                </c:pt>
                <c:pt idx="1">
                  <c:v>138</c:v>
                </c:pt>
                <c:pt idx="2">
                  <c:v>361</c:v>
                </c:pt>
                <c:pt idx="3">
                  <c:v>809</c:v>
                </c:pt>
              </c:numCache>
            </c:numRef>
          </c:val>
          <c:extLst>
            <c:ext xmlns:c16="http://schemas.microsoft.com/office/drawing/2014/chart" uri="{C3380CC4-5D6E-409C-BE32-E72D297353CC}">
              <c16:uniqueId val="{00000006-7902-4C5C-B28E-3104862DE5A3}"/>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7902-4C5C-B28E-3104862DE5A3}"/>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7902-4C5C-B28E-3104862DE5A3}"/>
              </c:ext>
            </c:extLst>
          </c:dPt>
          <c:dPt>
            <c:idx val="2"/>
            <c:bubble3D val="0"/>
            <c:spPr>
              <a:noFill/>
              <a:ln w="19050">
                <a:noFill/>
              </a:ln>
              <a:effectLst/>
            </c:spPr>
            <c:extLst>
              <c:ext xmlns:c16="http://schemas.microsoft.com/office/drawing/2014/chart" uri="{C3380CC4-5D6E-409C-BE32-E72D297353CC}">
                <c16:uniqueId val="{0000000C-7902-4C5C-B28E-3104862DE5A3}"/>
              </c:ext>
            </c:extLst>
          </c:dPt>
          <c:cat>
            <c:strRef>
              <c:f>Chart!$D$45:$D$47</c:f>
              <c:strCache>
                <c:ptCount val="3"/>
                <c:pt idx="0">
                  <c:v>PStart</c:v>
                </c:pt>
                <c:pt idx="1">
                  <c:v>Pointer</c:v>
                </c:pt>
                <c:pt idx="2">
                  <c:v>PEnd</c:v>
                </c:pt>
              </c:strCache>
            </c:strRef>
          </c:cat>
          <c:val>
            <c:numRef>
              <c:f>Chart!$H$148:$H$150</c:f>
              <c:numCache>
                <c:formatCode>#,##0_);[Red]\(#,##0\)</c:formatCode>
                <c:ptCount val="3"/>
                <c:pt idx="0">
                  <c:v>423.9325</c:v>
                </c:pt>
                <c:pt idx="1">
                  <c:v>12.135</c:v>
                </c:pt>
                <c:pt idx="2">
                  <c:v>1181.9324999999999</c:v>
                </c:pt>
              </c:numCache>
            </c:numRef>
          </c:val>
          <c:extLst>
            <c:ext xmlns:c16="http://schemas.microsoft.com/office/drawing/2014/chart" uri="{C3380CC4-5D6E-409C-BE32-E72D297353CC}">
              <c16:uniqueId val="{0000000D-7902-4C5C-B28E-3104862DE5A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lumMod val="50000"/>
              </a:schemeClr>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lumMod val="50000"/>
                </a:schemeClr>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9F6-427F-8878-FFF881113A9E}"/>
              </c:ext>
            </c:extLst>
          </c:dPt>
          <c:dPt>
            <c:idx val="1"/>
            <c:bubble3D val="0"/>
            <c:spPr>
              <a:pattFill prst="pct25">
                <a:fgClr>
                  <a:srgbClr val="76232F"/>
                </a:fgClr>
                <a:bgClr>
                  <a:srgbClr val="FFFFFF"/>
                </a:bgClr>
              </a:patt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9F6-427F-8878-FFF881113A9E}"/>
              </c:ext>
            </c:extLst>
          </c:dPt>
          <c:dPt>
            <c:idx val="2"/>
            <c:bubble3D val="0"/>
            <c:spPr>
              <a:solidFill>
                <a:schemeClr val="bg1"/>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99F6-427F-8878-FFF881113A9E}"/>
              </c:ext>
            </c:extLst>
          </c:dPt>
          <c:dPt>
            <c:idx val="3"/>
            <c:bubble3D val="0"/>
            <c:spPr>
              <a:noFill/>
              <a:ln w="19050">
                <a:noFill/>
              </a:ln>
              <a:effectLst/>
            </c:spPr>
            <c:extLst>
              <c:ext xmlns:c16="http://schemas.microsoft.com/office/drawing/2014/chart" uri="{C3380CC4-5D6E-409C-BE32-E72D297353CC}">
                <c16:uniqueId val="{00000007-AB70-4318-98DD-20C21EE29CE5}"/>
              </c:ext>
            </c:extLst>
          </c:dPt>
          <c:cat>
            <c:strRef>
              <c:f>Chart!$D$45:$D$47</c:f>
              <c:strCache>
                <c:ptCount val="3"/>
                <c:pt idx="0">
                  <c:v>PStart</c:v>
                </c:pt>
                <c:pt idx="1">
                  <c:v>Pointer</c:v>
                </c:pt>
                <c:pt idx="2">
                  <c:v>PEnd</c:v>
                </c:pt>
              </c:strCache>
            </c:strRef>
          </c:cat>
          <c:val>
            <c:numRef>
              <c:f>Chart!$E$156:$E$159</c:f>
              <c:numCache>
                <c:formatCode>#,##0_);[Red]\(#,##0\)</c:formatCode>
                <c:ptCount val="4"/>
                <c:pt idx="0">
                  <c:v>42</c:v>
                </c:pt>
                <c:pt idx="1">
                  <c:v>0</c:v>
                </c:pt>
                <c:pt idx="2">
                  <c:v>85</c:v>
                </c:pt>
                <c:pt idx="3">
                  <c:v>127</c:v>
                </c:pt>
              </c:numCache>
            </c:numRef>
          </c:val>
          <c:extLst>
            <c:ext xmlns:c16="http://schemas.microsoft.com/office/drawing/2014/chart" uri="{C3380CC4-5D6E-409C-BE32-E72D297353CC}">
              <c16:uniqueId val="{00000006-99F6-427F-8878-FFF881113A9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99F6-427F-8878-FFF881113A9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99F6-427F-8878-FFF881113A9E}"/>
              </c:ext>
            </c:extLst>
          </c:dPt>
          <c:dPt>
            <c:idx val="2"/>
            <c:bubble3D val="0"/>
            <c:spPr>
              <a:noFill/>
              <a:ln w="19050">
                <a:noFill/>
              </a:ln>
              <a:effectLst/>
            </c:spPr>
            <c:extLst>
              <c:ext xmlns:c16="http://schemas.microsoft.com/office/drawing/2014/chart" uri="{C3380CC4-5D6E-409C-BE32-E72D297353CC}">
                <c16:uniqueId val="{0000000C-99F6-427F-8878-FFF881113A9E}"/>
              </c:ext>
            </c:extLst>
          </c:dPt>
          <c:cat>
            <c:strRef>
              <c:f>Chart!$D$45:$D$47</c:f>
              <c:strCache>
                <c:ptCount val="3"/>
                <c:pt idx="0">
                  <c:v>PStart</c:v>
                </c:pt>
                <c:pt idx="1">
                  <c:v>Pointer</c:v>
                </c:pt>
                <c:pt idx="2">
                  <c:v>PEnd</c:v>
                </c:pt>
              </c:strCache>
            </c:strRef>
          </c:cat>
          <c:val>
            <c:numRef>
              <c:f>Chart!$E$160:$E$162</c:f>
              <c:numCache>
                <c:formatCode>#,##0_);[Red]\(#,##0\)</c:formatCode>
                <c:ptCount val="3"/>
                <c:pt idx="0">
                  <c:v>11.047499999999999</c:v>
                </c:pt>
                <c:pt idx="1">
                  <c:v>1.905</c:v>
                </c:pt>
                <c:pt idx="2">
                  <c:v>241.04750000000001</c:v>
                </c:pt>
              </c:numCache>
            </c:numRef>
          </c:val>
          <c:extLst>
            <c:ext xmlns:c16="http://schemas.microsoft.com/office/drawing/2014/chart" uri="{C3380CC4-5D6E-409C-BE32-E72D297353CC}">
              <c16:uniqueId val="{0000000D-99F6-427F-8878-FFF881113A9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8F8B-4853-B9DC-D2795AD4AB62}"/>
              </c:ext>
            </c:extLst>
          </c:dPt>
          <c:dPt>
            <c:idx val="1"/>
            <c:bubble3D val="0"/>
            <c:spPr>
              <a:pattFill prst="pct25">
                <a:fgClr>
                  <a:srgbClr val="76232F"/>
                </a:fgClr>
                <a:bgClr>
                  <a:srgbClr val="FFFFFF"/>
                </a:bgClr>
              </a:patt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8F8B-4853-B9DC-D2795AD4AB62}"/>
              </c:ext>
            </c:extLst>
          </c:dPt>
          <c:dPt>
            <c:idx val="2"/>
            <c:bubble3D val="0"/>
            <c:spPr>
              <a:solidFill>
                <a:schemeClr val="bg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8F8B-4853-B9DC-D2795AD4AB62}"/>
              </c:ext>
            </c:extLst>
          </c:dPt>
          <c:dPt>
            <c:idx val="3"/>
            <c:bubble3D val="0"/>
            <c:spPr>
              <a:noFill/>
              <a:ln w="19050">
                <a:noFill/>
              </a:ln>
              <a:effectLst/>
            </c:spPr>
            <c:extLst>
              <c:ext xmlns:c16="http://schemas.microsoft.com/office/drawing/2014/chart" uri="{C3380CC4-5D6E-409C-BE32-E72D297353CC}">
                <c16:uniqueId val="{00000007-3D7C-482E-91F3-0ACA2CF64E22}"/>
              </c:ext>
            </c:extLst>
          </c:dPt>
          <c:cat>
            <c:strRef>
              <c:f>Chart!$D$45:$D$47</c:f>
              <c:strCache>
                <c:ptCount val="3"/>
                <c:pt idx="0">
                  <c:v>PStart</c:v>
                </c:pt>
                <c:pt idx="1">
                  <c:v>Pointer</c:v>
                </c:pt>
                <c:pt idx="2">
                  <c:v>PEnd</c:v>
                </c:pt>
              </c:strCache>
            </c:strRef>
          </c:cat>
          <c:val>
            <c:numRef>
              <c:f>Chart!$E$167:$E$170</c:f>
              <c:numCache>
                <c:formatCode>#,##0_);[Red]\(#,##0\)</c:formatCode>
                <c:ptCount val="4"/>
                <c:pt idx="0">
                  <c:v>127</c:v>
                </c:pt>
                <c:pt idx="1">
                  <c:v>0</c:v>
                </c:pt>
                <c:pt idx="2">
                  <c:v>106</c:v>
                </c:pt>
                <c:pt idx="3">
                  <c:v>233</c:v>
                </c:pt>
              </c:numCache>
            </c:numRef>
          </c:val>
          <c:extLst>
            <c:ext xmlns:c16="http://schemas.microsoft.com/office/drawing/2014/chart" uri="{C3380CC4-5D6E-409C-BE32-E72D297353CC}">
              <c16:uniqueId val="{00000006-8F8B-4853-B9DC-D2795AD4AB62}"/>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8F8B-4853-B9DC-D2795AD4AB62}"/>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8F8B-4853-B9DC-D2795AD4AB62}"/>
              </c:ext>
            </c:extLst>
          </c:dPt>
          <c:dPt>
            <c:idx val="2"/>
            <c:bubble3D val="0"/>
            <c:spPr>
              <a:noFill/>
              <a:ln w="19050">
                <a:noFill/>
              </a:ln>
              <a:effectLst/>
            </c:spPr>
            <c:extLst>
              <c:ext xmlns:c16="http://schemas.microsoft.com/office/drawing/2014/chart" uri="{C3380CC4-5D6E-409C-BE32-E72D297353CC}">
                <c16:uniqueId val="{0000000C-8F8B-4853-B9DC-D2795AD4AB62}"/>
              </c:ext>
            </c:extLst>
          </c:dPt>
          <c:cat>
            <c:strRef>
              <c:f>Chart!$D$45:$D$47</c:f>
              <c:strCache>
                <c:ptCount val="3"/>
                <c:pt idx="0">
                  <c:v>PStart</c:v>
                </c:pt>
                <c:pt idx="1">
                  <c:v>Pointer</c:v>
                </c:pt>
                <c:pt idx="2">
                  <c:v>PEnd</c:v>
                </c:pt>
              </c:strCache>
            </c:strRef>
          </c:cat>
          <c:val>
            <c:numRef>
              <c:f>Chart!$E$171:$E$173</c:f>
              <c:numCache>
                <c:formatCode>#,##0_);[Red]\(#,##0\)</c:formatCode>
                <c:ptCount val="3"/>
                <c:pt idx="0">
                  <c:v>38.252499999999998</c:v>
                </c:pt>
                <c:pt idx="1">
                  <c:v>3.4949999999999997</c:v>
                </c:pt>
                <c:pt idx="2">
                  <c:v>424.2525</c:v>
                </c:pt>
              </c:numCache>
            </c:numRef>
          </c:val>
          <c:extLst>
            <c:ext xmlns:c16="http://schemas.microsoft.com/office/drawing/2014/chart" uri="{C3380CC4-5D6E-409C-BE32-E72D297353CC}">
              <c16:uniqueId val="{0000000D-8F8B-4853-B9DC-D2795AD4AB6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lumMod val="50000"/>
              </a:schemeClr>
            </a:solidFill>
            <a:ln>
              <a:solidFill>
                <a:schemeClr val="accent5">
                  <a:lumMod val="50000"/>
                </a:schemeClr>
              </a:solidFill>
            </a:ln>
            <a:effectLst>
              <a:outerShdw blurRad="50800" dist="38100" dir="8100000" algn="tr" rotWithShape="0">
                <a:prstClr val="black">
                  <a:alpha val="40000"/>
                </a:prstClr>
              </a:outerShdw>
            </a:effectLst>
          </c:spPr>
          <c:dPt>
            <c:idx val="0"/>
            <c:bubble3D val="0"/>
            <c:spPr>
              <a:solidFill>
                <a:schemeClr val="accent5">
                  <a:lumMod val="50000"/>
                </a:schemeClr>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7C1-41EA-A85C-C21B3CBF501C}"/>
              </c:ext>
            </c:extLst>
          </c:dPt>
          <c:dPt>
            <c:idx val="1"/>
            <c:bubble3D val="0"/>
            <c:spPr>
              <a:pattFill prst="pct25">
                <a:fgClr>
                  <a:srgbClr val="76232F"/>
                </a:fgClr>
                <a:bgClr>
                  <a:srgbClr val="FFFFFF"/>
                </a:bgClr>
              </a:patt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7C1-41EA-A85C-C21B3CBF501C}"/>
              </c:ext>
            </c:extLst>
          </c:dPt>
          <c:dPt>
            <c:idx val="2"/>
            <c:bubble3D val="0"/>
            <c:spPr>
              <a:solidFill>
                <a:schemeClr val="bg1"/>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E7C1-41EA-A85C-C21B3CBF501C}"/>
              </c:ext>
            </c:extLst>
          </c:dPt>
          <c:dPt>
            <c:idx val="3"/>
            <c:bubble3D val="0"/>
            <c:spPr>
              <a:noFill/>
              <a:ln w="19050">
                <a:noFill/>
              </a:ln>
              <a:effectLst/>
            </c:spPr>
            <c:extLst>
              <c:ext xmlns:c16="http://schemas.microsoft.com/office/drawing/2014/chart" uri="{C3380CC4-5D6E-409C-BE32-E72D297353CC}">
                <c16:uniqueId val="{00000007-CB1F-4E3A-BF6A-721BA77AD284}"/>
              </c:ext>
            </c:extLst>
          </c:dPt>
          <c:cat>
            <c:strRef>
              <c:f>Chart!$D$45:$D$47</c:f>
              <c:strCache>
                <c:ptCount val="3"/>
                <c:pt idx="0">
                  <c:v>PStart</c:v>
                </c:pt>
                <c:pt idx="1">
                  <c:v>Pointer</c:v>
                </c:pt>
                <c:pt idx="2">
                  <c:v>PEnd</c:v>
                </c:pt>
              </c:strCache>
            </c:strRef>
          </c:cat>
          <c:val>
            <c:numRef>
              <c:f>Chart!$F$156:$F$159</c:f>
              <c:numCache>
                <c:formatCode>#,##0_);[Red]\(#,##0\)</c:formatCode>
                <c:ptCount val="4"/>
                <c:pt idx="0">
                  <c:v>42</c:v>
                </c:pt>
                <c:pt idx="1">
                  <c:v>0</c:v>
                </c:pt>
                <c:pt idx="2">
                  <c:v>85</c:v>
                </c:pt>
                <c:pt idx="3">
                  <c:v>127</c:v>
                </c:pt>
              </c:numCache>
            </c:numRef>
          </c:val>
          <c:extLst>
            <c:ext xmlns:c16="http://schemas.microsoft.com/office/drawing/2014/chart" uri="{C3380CC4-5D6E-409C-BE32-E72D297353CC}">
              <c16:uniqueId val="{00000006-E7C1-41EA-A85C-C21B3CBF501C}"/>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E7C1-41EA-A85C-C21B3CBF501C}"/>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E7C1-41EA-A85C-C21B3CBF501C}"/>
              </c:ext>
            </c:extLst>
          </c:dPt>
          <c:dPt>
            <c:idx val="2"/>
            <c:bubble3D val="0"/>
            <c:spPr>
              <a:noFill/>
              <a:ln w="19050">
                <a:noFill/>
              </a:ln>
              <a:effectLst/>
            </c:spPr>
            <c:extLst>
              <c:ext xmlns:c16="http://schemas.microsoft.com/office/drawing/2014/chart" uri="{C3380CC4-5D6E-409C-BE32-E72D297353CC}">
                <c16:uniqueId val="{0000000C-E7C1-41EA-A85C-C21B3CBF501C}"/>
              </c:ext>
            </c:extLst>
          </c:dPt>
          <c:cat>
            <c:strRef>
              <c:f>Chart!$D$45:$D$47</c:f>
              <c:strCache>
                <c:ptCount val="3"/>
                <c:pt idx="0">
                  <c:v>PStart</c:v>
                </c:pt>
                <c:pt idx="1">
                  <c:v>Pointer</c:v>
                </c:pt>
                <c:pt idx="2">
                  <c:v>PEnd</c:v>
                </c:pt>
              </c:strCache>
            </c:strRef>
          </c:cat>
          <c:val>
            <c:numRef>
              <c:f>Chart!$F$160:$F$162</c:f>
              <c:numCache>
                <c:formatCode>#,##0_);[Red]\(#,##0\)</c:formatCode>
                <c:ptCount val="3"/>
                <c:pt idx="0">
                  <c:v>29.047499999999999</c:v>
                </c:pt>
                <c:pt idx="1">
                  <c:v>1.905</c:v>
                </c:pt>
                <c:pt idx="2">
                  <c:v>223.04750000000001</c:v>
                </c:pt>
              </c:numCache>
            </c:numRef>
          </c:val>
          <c:extLst>
            <c:ext xmlns:c16="http://schemas.microsoft.com/office/drawing/2014/chart" uri="{C3380CC4-5D6E-409C-BE32-E72D297353CC}">
              <c16:uniqueId val="{0000000D-E7C1-41EA-A85C-C21B3CBF501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0"/>
        <c:ser>
          <c:idx val="0"/>
          <c:order val="0"/>
          <c:spPr>
            <a:solidFill>
              <a:srgbClr val="F1C400"/>
            </a:solidFill>
            <a:ln w="19050">
              <a:solidFill>
                <a:srgbClr val="F1C400"/>
              </a:solidFill>
            </a:ln>
            <a:effectLst>
              <a:outerShdw blurRad="50800" dist="38100" dir="8100000" algn="tr" rotWithShape="0">
                <a:prstClr val="black">
                  <a:alpha val="40000"/>
                </a:prstClr>
              </a:outerShdw>
            </a:effectLst>
          </c:spPr>
          <c:dPt>
            <c:idx val="0"/>
            <c:bubble3D val="0"/>
            <c:spPr>
              <a:solidFill>
                <a:srgbClr val="F1C400"/>
              </a:solidFill>
              <a:ln w="19050">
                <a:solidFill>
                  <a:srgbClr val="F1C400"/>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F16-4B89-9ED8-A7138BC9168E}"/>
              </c:ext>
            </c:extLst>
          </c:dPt>
          <c:dPt>
            <c:idx val="1"/>
            <c:bubble3D val="0"/>
            <c:spPr>
              <a:pattFill prst="pct25">
                <a:fgClr>
                  <a:srgbClr val="F1C400"/>
                </a:fgClr>
                <a:bgClr>
                  <a:sysClr val="window" lastClr="FFFFFF"/>
                </a:bgClr>
              </a:pattFill>
              <a:ln w="19050">
                <a:solidFill>
                  <a:srgbClr val="F1C400"/>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F16-4B89-9ED8-A7138BC9168E}"/>
              </c:ext>
            </c:extLst>
          </c:dPt>
          <c:dPt>
            <c:idx val="2"/>
            <c:bubble3D val="0"/>
            <c:spPr>
              <a:solidFill>
                <a:sysClr val="window" lastClr="FFFFFF"/>
              </a:solidFill>
              <a:ln w="19050">
                <a:solidFill>
                  <a:srgbClr val="F1C400"/>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2F16-4B89-9ED8-A7138BC9168E}"/>
              </c:ext>
            </c:extLst>
          </c:dPt>
          <c:dPt>
            <c:idx val="3"/>
            <c:bubble3D val="0"/>
            <c:spPr>
              <a:noFill/>
              <a:ln w="19050">
                <a:noFill/>
              </a:ln>
              <a:effectLst/>
            </c:spPr>
            <c:extLst>
              <c:ext xmlns:c16="http://schemas.microsoft.com/office/drawing/2014/chart" uri="{C3380CC4-5D6E-409C-BE32-E72D297353CC}">
                <c16:uniqueId val="{00000007-0671-44B1-B271-2BF7128A2B52}"/>
              </c:ext>
            </c:extLst>
          </c:dPt>
          <c:cat>
            <c:strRef>
              <c:f>Chart!$D$45:$D$47</c:f>
              <c:strCache>
                <c:ptCount val="3"/>
                <c:pt idx="0">
                  <c:v>PStart</c:v>
                </c:pt>
                <c:pt idx="1">
                  <c:v>Pointer</c:v>
                </c:pt>
                <c:pt idx="2">
                  <c:v>PEnd</c:v>
                </c:pt>
              </c:strCache>
            </c:strRef>
          </c:cat>
          <c:val>
            <c:numRef>
              <c:f>Chart!$F$167:$F$170</c:f>
              <c:numCache>
                <c:formatCode>#,##0_);[Red]\(#,##0\)</c:formatCode>
                <c:ptCount val="4"/>
                <c:pt idx="0">
                  <c:v>127</c:v>
                </c:pt>
                <c:pt idx="1">
                  <c:v>0</c:v>
                </c:pt>
                <c:pt idx="2">
                  <c:v>106</c:v>
                </c:pt>
                <c:pt idx="3">
                  <c:v>233</c:v>
                </c:pt>
              </c:numCache>
            </c:numRef>
          </c:val>
          <c:extLst>
            <c:ext xmlns:c16="http://schemas.microsoft.com/office/drawing/2014/chart" uri="{C3380CC4-5D6E-409C-BE32-E72D297353CC}">
              <c16:uniqueId val="{00000006-2F16-4B89-9ED8-A7138BC9168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2F16-4B89-9ED8-A7138BC9168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F16-4B89-9ED8-A7138BC9168E}"/>
              </c:ext>
            </c:extLst>
          </c:dPt>
          <c:dPt>
            <c:idx val="2"/>
            <c:bubble3D val="0"/>
            <c:spPr>
              <a:noFill/>
              <a:ln w="19050">
                <a:noFill/>
              </a:ln>
              <a:effectLst/>
            </c:spPr>
            <c:extLst>
              <c:ext xmlns:c16="http://schemas.microsoft.com/office/drawing/2014/chart" uri="{C3380CC4-5D6E-409C-BE32-E72D297353CC}">
                <c16:uniqueId val="{0000000C-2F16-4B89-9ED8-A7138BC9168E}"/>
              </c:ext>
            </c:extLst>
          </c:dPt>
          <c:cat>
            <c:strRef>
              <c:f>Chart!$D$45:$D$47</c:f>
              <c:strCache>
                <c:ptCount val="3"/>
                <c:pt idx="0">
                  <c:v>PStart</c:v>
                </c:pt>
                <c:pt idx="1">
                  <c:v>Pointer</c:v>
                </c:pt>
                <c:pt idx="2">
                  <c:v>PEnd</c:v>
                </c:pt>
              </c:strCache>
            </c:strRef>
          </c:cat>
          <c:val>
            <c:numRef>
              <c:f>Chart!$F$171:$F$173</c:f>
              <c:numCache>
                <c:formatCode>#,##0_);[Red]\(#,##0\)</c:formatCode>
                <c:ptCount val="3"/>
                <c:pt idx="0">
                  <c:v>38.252499999999998</c:v>
                </c:pt>
                <c:pt idx="1">
                  <c:v>3.4949999999999997</c:v>
                </c:pt>
                <c:pt idx="2">
                  <c:v>424.2525</c:v>
                </c:pt>
              </c:numCache>
            </c:numRef>
          </c:val>
          <c:extLst>
            <c:ext xmlns:c16="http://schemas.microsoft.com/office/drawing/2014/chart" uri="{C3380CC4-5D6E-409C-BE32-E72D297353CC}">
              <c16:uniqueId val="{0000000D-2F16-4B89-9ED8-A7138BC9168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lumMod val="75000"/>
              </a:schemeClr>
            </a:solidFill>
            <a:ln>
              <a:solidFill>
                <a:schemeClr val="accent6">
                  <a:lumMod val="75000"/>
                </a:schemeClr>
              </a:solidFill>
            </a:ln>
            <a:effectLst>
              <a:outerShdw blurRad="50800" dist="38100" dir="8100000" algn="tr" rotWithShape="0">
                <a:prstClr val="black">
                  <a:alpha val="40000"/>
                </a:prstClr>
              </a:outerShdw>
            </a:effectLst>
          </c:spPr>
          <c:dPt>
            <c:idx val="0"/>
            <c:bubble3D val="0"/>
            <c:spPr>
              <a:solidFill>
                <a:schemeClr val="accent6">
                  <a:lumMod val="75000"/>
                </a:schemeClr>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869-49EB-8C1F-9C99189592E8}"/>
              </c:ext>
            </c:extLst>
          </c:dPt>
          <c:dPt>
            <c:idx val="1"/>
            <c:bubble3D val="0"/>
            <c:spPr>
              <a:pattFill prst="pct25">
                <a:fgClr>
                  <a:srgbClr val="76232F"/>
                </a:fgClr>
                <a:bgClr>
                  <a:srgbClr val="FFFFFF"/>
                </a:bgClr>
              </a:patt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869-49EB-8C1F-9C99189592E8}"/>
              </c:ext>
            </c:extLst>
          </c:dPt>
          <c:dPt>
            <c:idx val="2"/>
            <c:bubble3D val="0"/>
            <c:spPr>
              <a:solidFill>
                <a:schemeClr val="bg1"/>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C869-49EB-8C1F-9C99189592E8}"/>
              </c:ext>
            </c:extLst>
          </c:dPt>
          <c:dPt>
            <c:idx val="3"/>
            <c:bubble3D val="0"/>
            <c:spPr>
              <a:noFill/>
              <a:ln w="19050">
                <a:noFill/>
              </a:ln>
              <a:effectLst/>
            </c:spPr>
            <c:extLst>
              <c:ext xmlns:c16="http://schemas.microsoft.com/office/drawing/2014/chart" uri="{C3380CC4-5D6E-409C-BE32-E72D297353CC}">
                <c16:uniqueId val="{00000007-9D84-4C60-8702-3F50F2833F8E}"/>
              </c:ext>
            </c:extLst>
          </c:dPt>
          <c:cat>
            <c:strRef>
              <c:f>Chart!$D$45:$D$47</c:f>
              <c:strCache>
                <c:ptCount val="3"/>
                <c:pt idx="0">
                  <c:v>PStart</c:v>
                </c:pt>
                <c:pt idx="1">
                  <c:v>Pointer</c:v>
                </c:pt>
                <c:pt idx="2">
                  <c:v>PEnd</c:v>
                </c:pt>
              </c:strCache>
            </c:strRef>
          </c:cat>
          <c:val>
            <c:numRef>
              <c:f>Chart!$G$156:$G$159</c:f>
              <c:numCache>
                <c:formatCode>#,##0_);[Red]\(#,##0\)</c:formatCode>
                <c:ptCount val="4"/>
                <c:pt idx="0">
                  <c:v>42</c:v>
                </c:pt>
                <c:pt idx="1">
                  <c:v>0</c:v>
                </c:pt>
                <c:pt idx="2">
                  <c:v>85</c:v>
                </c:pt>
                <c:pt idx="3">
                  <c:v>127</c:v>
                </c:pt>
              </c:numCache>
            </c:numRef>
          </c:val>
          <c:extLst>
            <c:ext xmlns:c16="http://schemas.microsoft.com/office/drawing/2014/chart" uri="{C3380CC4-5D6E-409C-BE32-E72D297353CC}">
              <c16:uniqueId val="{00000006-C869-49EB-8C1F-9C99189592E8}"/>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C869-49EB-8C1F-9C99189592E8}"/>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C869-49EB-8C1F-9C99189592E8}"/>
              </c:ext>
            </c:extLst>
          </c:dPt>
          <c:dPt>
            <c:idx val="2"/>
            <c:bubble3D val="0"/>
            <c:spPr>
              <a:noFill/>
              <a:ln w="19050">
                <a:noFill/>
              </a:ln>
              <a:effectLst/>
            </c:spPr>
            <c:extLst>
              <c:ext xmlns:c16="http://schemas.microsoft.com/office/drawing/2014/chart" uri="{C3380CC4-5D6E-409C-BE32-E72D297353CC}">
                <c16:uniqueId val="{0000000C-C869-49EB-8C1F-9C99189592E8}"/>
              </c:ext>
            </c:extLst>
          </c:dPt>
          <c:cat>
            <c:strRef>
              <c:f>Chart!$D$45:$D$47</c:f>
              <c:strCache>
                <c:ptCount val="3"/>
                <c:pt idx="0">
                  <c:v>PStart</c:v>
                </c:pt>
                <c:pt idx="1">
                  <c:v>Pointer</c:v>
                </c:pt>
                <c:pt idx="2">
                  <c:v>PEnd</c:v>
                </c:pt>
              </c:strCache>
            </c:strRef>
          </c:cat>
          <c:val>
            <c:numRef>
              <c:f>Chart!$G$160:$G$162</c:f>
              <c:numCache>
                <c:formatCode>#,##0_);[Red]\(#,##0\)</c:formatCode>
                <c:ptCount val="3"/>
                <c:pt idx="0">
                  <c:v>29.047499999999999</c:v>
                </c:pt>
                <c:pt idx="1">
                  <c:v>1.905</c:v>
                </c:pt>
                <c:pt idx="2">
                  <c:v>223.04750000000001</c:v>
                </c:pt>
              </c:numCache>
            </c:numRef>
          </c:val>
          <c:extLst>
            <c:ext xmlns:c16="http://schemas.microsoft.com/office/drawing/2014/chart" uri="{C3380CC4-5D6E-409C-BE32-E72D297353CC}">
              <c16:uniqueId val="{0000000D-C869-49EB-8C1F-9C99189592E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solidFill>
                <a:schemeClr val="accent6"/>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7DD-4BB9-92B9-51C29E84CB56}"/>
              </c:ext>
            </c:extLst>
          </c:dPt>
          <c:dPt>
            <c:idx val="1"/>
            <c:bubble3D val="0"/>
            <c:spPr>
              <a:pattFill prst="pct25">
                <a:fgClr>
                  <a:srgbClr val="76232F"/>
                </a:fgClr>
                <a:bgClr>
                  <a:srgbClr val="FFFFFF"/>
                </a:bgClr>
              </a:patt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7DD-4BB9-92B9-51C29E84CB56}"/>
              </c:ext>
            </c:extLst>
          </c:dPt>
          <c:dPt>
            <c:idx val="2"/>
            <c:bubble3D val="0"/>
            <c:spPr>
              <a:solidFill>
                <a:schemeClr val="bg1"/>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A7DD-4BB9-92B9-51C29E84CB56}"/>
              </c:ext>
            </c:extLst>
          </c:dPt>
          <c:dPt>
            <c:idx val="3"/>
            <c:bubble3D val="0"/>
            <c:spPr>
              <a:noFill/>
              <a:ln w="19050">
                <a:noFill/>
              </a:ln>
              <a:effectLst/>
            </c:spPr>
            <c:extLst>
              <c:ext xmlns:c16="http://schemas.microsoft.com/office/drawing/2014/chart" uri="{C3380CC4-5D6E-409C-BE32-E72D297353CC}">
                <c16:uniqueId val="{00000007-3782-46C1-81B8-F72BCCD67D60}"/>
              </c:ext>
            </c:extLst>
          </c:dPt>
          <c:cat>
            <c:strRef>
              <c:f>Chart!$D$45:$D$47</c:f>
              <c:strCache>
                <c:ptCount val="3"/>
                <c:pt idx="0">
                  <c:v>PStart</c:v>
                </c:pt>
                <c:pt idx="1">
                  <c:v>Pointer</c:v>
                </c:pt>
                <c:pt idx="2">
                  <c:v>PEnd</c:v>
                </c:pt>
              </c:strCache>
            </c:strRef>
          </c:cat>
          <c:val>
            <c:numRef>
              <c:f>Chart!$G$167:$G$170</c:f>
              <c:numCache>
                <c:formatCode>#,##0_);[Red]\(#,##0\)</c:formatCode>
                <c:ptCount val="4"/>
                <c:pt idx="0">
                  <c:v>127</c:v>
                </c:pt>
                <c:pt idx="1">
                  <c:v>0</c:v>
                </c:pt>
                <c:pt idx="2">
                  <c:v>106</c:v>
                </c:pt>
                <c:pt idx="3">
                  <c:v>233</c:v>
                </c:pt>
              </c:numCache>
            </c:numRef>
          </c:val>
          <c:extLst>
            <c:ext xmlns:c16="http://schemas.microsoft.com/office/drawing/2014/chart" uri="{C3380CC4-5D6E-409C-BE32-E72D297353CC}">
              <c16:uniqueId val="{00000006-A7DD-4BB9-92B9-51C29E84CB56}"/>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A7DD-4BB9-92B9-51C29E84CB56}"/>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A7DD-4BB9-92B9-51C29E84CB56}"/>
              </c:ext>
            </c:extLst>
          </c:dPt>
          <c:dPt>
            <c:idx val="2"/>
            <c:bubble3D val="0"/>
            <c:spPr>
              <a:noFill/>
              <a:ln w="19050">
                <a:noFill/>
              </a:ln>
              <a:effectLst/>
            </c:spPr>
            <c:extLst>
              <c:ext xmlns:c16="http://schemas.microsoft.com/office/drawing/2014/chart" uri="{C3380CC4-5D6E-409C-BE32-E72D297353CC}">
                <c16:uniqueId val="{0000000C-A7DD-4BB9-92B9-51C29E84CB56}"/>
              </c:ext>
            </c:extLst>
          </c:dPt>
          <c:cat>
            <c:strRef>
              <c:f>Chart!$D$45:$D$47</c:f>
              <c:strCache>
                <c:ptCount val="3"/>
                <c:pt idx="0">
                  <c:v>PStart</c:v>
                </c:pt>
                <c:pt idx="1">
                  <c:v>Pointer</c:v>
                </c:pt>
                <c:pt idx="2">
                  <c:v>PEnd</c:v>
                </c:pt>
              </c:strCache>
            </c:strRef>
          </c:cat>
          <c:val>
            <c:numRef>
              <c:f>Chart!$G$171:$G$173</c:f>
              <c:numCache>
                <c:formatCode>#,##0_);[Red]\(#,##0\)</c:formatCode>
                <c:ptCount val="3"/>
                <c:pt idx="0">
                  <c:v>54.252499999999998</c:v>
                </c:pt>
                <c:pt idx="1">
                  <c:v>3.4949999999999997</c:v>
                </c:pt>
                <c:pt idx="2">
                  <c:v>408.2525</c:v>
                </c:pt>
              </c:numCache>
            </c:numRef>
          </c:val>
          <c:extLst>
            <c:ext xmlns:c16="http://schemas.microsoft.com/office/drawing/2014/chart" uri="{C3380CC4-5D6E-409C-BE32-E72D297353CC}">
              <c16:uniqueId val="{0000000D-A7DD-4BB9-92B9-51C29E84CB5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lumMod val="50000"/>
              </a:schemeClr>
            </a:solidFill>
            <a:ln>
              <a:solidFill>
                <a:schemeClr val="accent4">
                  <a:lumMod val="50000"/>
                </a:schemeClr>
              </a:solidFill>
            </a:ln>
            <a:effectLst>
              <a:outerShdw blurRad="50800" dist="38100" dir="8100000" algn="tr" rotWithShape="0">
                <a:prstClr val="black">
                  <a:alpha val="40000"/>
                </a:prstClr>
              </a:outerShdw>
            </a:effectLst>
          </c:spPr>
          <c:dPt>
            <c:idx val="0"/>
            <c:bubble3D val="0"/>
            <c:spPr>
              <a:solidFill>
                <a:schemeClr val="accent4">
                  <a:lumMod val="50000"/>
                </a:schemeClr>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C8D-4FCA-8476-E5AFCFC1EA30}"/>
              </c:ext>
            </c:extLst>
          </c:dPt>
          <c:dPt>
            <c:idx val="1"/>
            <c:bubble3D val="0"/>
            <c:spPr>
              <a:pattFill prst="pct25">
                <a:fgClr>
                  <a:srgbClr val="009B77">
                    <a:lumMod val="50000"/>
                  </a:srgbClr>
                </a:fgClr>
                <a:bgClr>
                  <a:sysClr val="window" lastClr="FFFFFF"/>
                </a:bgClr>
              </a:patt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C8D-4FCA-8476-E5AFCFC1EA30}"/>
              </c:ext>
            </c:extLst>
          </c:dPt>
          <c:dPt>
            <c:idx val="2"/>
            <c:bubble3D val="0"/>
            <c:spPr>
              <a:solidFill>
                <a:schemeClr val="bg1"/>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DC8D-4FCA-8476-E5AFCFC1EA30}"/>
              </c:ext>
            </c:extLst>
          </c:dPt>
          <c:dPt>
            <c:idx val="3"/>
            <c:bubble3D val="0"/>
            <c:spPr>
              <a:noFill/>
              <a:ln w="19050">
                <a:noFill/>
              </a:ln>
              <a:effectLst/>
            </c:spPr>
            <c:extLst>
              <c:ext xmlns:c16="http://schemas.microsoft.com/office/drawing/2014/chart" uri="{C3380CC4-5D6E-409C-BE32-E72D297353CC}">
                <c16:uniqueId val="{00000007-8C1C-45D4-A165-14365B1A23A9}"/>
              </c:ext>
            </c:extLst>
          </c:dPt>
          <c:cat>
            <c:strRef>
              <c:f>Chart!$D$45:$D$47</c:f>
              <c:strCache>
                <c:ptCount val="3"/>
                <c:pt idx="0">
                  <c:v>PStart</c:v>
                </c:pt>
                <c:pt idx="1">
                  <c:v>Pointer</c:v>
                </c:pt>
                <c:pt idx="2">
                  <c:v>PEnd</c:v>
                </c:pt>
              </c:strCache>
            </c:strRef>
          </c:cat>
          <c:val>
            <c:numRef>
              <c:f>Chart!$H$156:$H$159</c:f>
              <c:numCache>
                <c:formatCode>#,##0_);[Red]\(#,##0\)</c:formatCode>
                <c:ptCount val="4"/>
                <c:pt idx="0">
                  <c:v>42</c:v>
                </c:pt>
                <c:pt idx="1">
                  <c:v>0</c:v>
                </c:pt>
                <c:pt idx="2">
                  <c:v>85</c:v>
                </c:pt>
                <c:pt idx="3">
                  <c:v>127</c:v>
                </c:pt>
              </c:numCache>
            </c:numRef>
          </c:val>
          <c:extLst>
            <c:ext xmlns:c16="http://schemas.microsoft.com/office/drawing/2014/chart" uri="{C3380CC4-5D6E-409C-BE32-E72D297353CC}">
              <c16:uniqueId val="{00000006-DC8D-4FCA-8476-E5AFCFC1EA30}"/>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DC8D-4FCA-8476-E5AFCFC1EA30}"/>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DC8D-4FCA-8476-E5AFCFC1EA30}"/>
              </c:ext>
            </c:extLst>
          </c:dPt>
          <c:dPt>
            <c:idx val="2"/>
            <c:bubble3D val="0"/>
            <c:spPr>
              <a:noFill/>
              <a:ln w="19050">
                <a:noFill/>
              </a:ln>
              <a:effectLst/>
            </c:spPr>
            <c:extLst>
              <c:ext xmlns:c16="http://schemas.microsoft.com/office/drawing/2014/chart" uri="{C3380CC4-5D6E-409C-BE32-E72D297353CC}">
                <c16:uniqueId val="{0000000C-DC8D-4FCA-8476-E5AFCFC1EA30}"/>
              </c:ext>
            </c:extLst>
          </c:dPt>
          <c:cat>
            <c:strRef>
              <c:f>Chart!$D$45:$D$47</c:f>
              <c:strCache>
                <c:ptCount val="3"/>
                <c:pt idx="0">
                  <c:v>PStart</c:v>
                </c:pt>
                <c:pt idx="1">
                  <c:v>Pointer</c:v>
                </c:pt>
                <c:pt idx="2">
                  <c:v>PEnd</c:v>
                </c:pt>
              </c:strCache>
            </c:strRef>
          </c:cat>
          <c:val>
            <c:numRef>
              <c:f>Chart!$H$160:$H$162</c:f>
              <c:numCache>
                <c:formatCode>#,##0_);[Red]\(#,##0\)</c:formatCode>
                <c:ptCount val="3"/>
                <c:pt idx="0">
                  <c:v>29.047499999999999</c:v>
                </c:pt>
                <c:pt idx="1">
                  <c:v>1.905</c:v>
                </c:pt>
                <c:pt idx="2">
                  <c:v>223.04750000000001</c:v>
                </c:pt>
              </c:numCache>
            </c:numRef>
          </c:val>
          <c:extLst>
            <c:ext xmlns:c16="http://schemas.microsoft.com/office/drawing/2014/chart" uri="{C3380CC4-5D6E-409C-BE32-E72D297353CC}">
              <c16:uniqueId val="{0000000D-DC8D-4FCA-8476-E5AFCFC1EA3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solidFill>
            <a:ln>
              <a:solidFill>
                <a:schemeClr val="accent4"/>
              </a:solidFill>
            </a:ln>
            <a:effectLst>
              <a:outerShdw blurRad="50800" dist="38100" dir="8100000" algn="tr" rotWithShape="0">
                <a:prstClr val="black">
                  <a:alpha val="40000"/>
                </a:prstClr>
              </a:outerShdw>
            </a:effectLst>
          </c:spPr>
          <c:dPt>
            <c:idx val="0"/>
            <c:bubble3D val="0"/>
            <c:spPr>
              <a:solidFill>
                <a:schemeClr val="accent4"/>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902-4C5C-B28E-3104862DE5A3}"/>
              </c:ext>
            </c:extLst>
          </c:dPt>
          <c:dPt>
            <c:idx val="1"/>
            <c:bubble3D val="0"/>
            <c:spPr>
              <a:pattFill prst="pct25">
                <a:fgClr>
                  <a:srgbClr val="009B77"/>
                </a:fgClr>
                <a:bgClr>
                  <a:sysClr val="window" lastClr="FFFFFF"/>
                </a:bgClr>
              </a:patt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902-4C5C-B28E-3104862DE5A3}"/>
              </c:ext>
            </c:extLst>
          </c:dPt>
          <c:dPt>
            <c:idx val="2"/>
            <c:bubble3D val="0"/>
            <c:spPr>
              <a:solidFill>
                <a:schemeClr val="bg1"/>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7902-4C5C-B28E-3104862DE5A3}"/>
              </c:ext>
            </c:extLst>
          </c:dPt>
          <c:dPt>
            <c:idx val="3"/>
            <c:bubble3D val="0"/>
            <c:spPr>
              <a:noFill/>
              <a:ln w="19050">
                <a:noFill/>
              </a:ln>
              <a:effectLst/>
            </c:spPr>
            <c:extLst>
              <c:ext xmlns:c16="http://schemas.microsoft.com/office/drawing/2014/chart" uri="{C3380CC4-5D6E-409C-BE32-E72D297353CC}">
                <c16:uniqueId val="{00000007-0285-4B7A-BAC6-D938846E3760}"/>
              </c:ext>
            </c:extLst>
          </c:dPt>
          <c:cat>
            <c:strRef>
              <c:f>Chart!$D$45:$D$47</c:f>
              <c:strCache>
                <c:ptCount val="3"/>
                <c:pt idx="0">
                  <c:v>PStart</c:v>
                </c:pt>
                <c:pt idx="1">
                  <c:v>Pointer</c:v>
                </c:pt>
                <c:pt idx="2">
                  <c:v>PEnd</c:v>
                </c:pt>
              </c:strCache>
            </c:strRef>
          </c:cat>
          <c:val>
            <c:numRef>
              <c:f>Chart!$H$167:$H$170</c:f>
              <c:numCache>
                <c:formatCode>#,##0_);[Red]\(#,##0\)</c:formatCode>
                <c:ptCount val="4"/>
                <c:pt idx="0">
                  <c:v>127</c:v>
                </c:pt>
                <c:pt idx="1">
                  <c:v>0</c:v>
                </c:pt>
                <c:pt idx="2">
                  <c:v>106</c:v>
                </c:pt>
                <c:pt idx="3">
                  <c:v>233</c:v>
                </c:pt>
              </c:numCache>
            </c:numRef>
          </c:val>
          <c:extLst>
            <c:ext xmlns:c16="http://schemas.microsoft.com/office/drawing/2014/chart" uri="{C3380CC4-5D6E-409C-BE32-E72D297353CC}">
              <c16:uniqueId val="{00000006-7902-4C5C-B28E-3104862DE5A3}"/>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7902-4C5C-B28E-3104862DE5A3}"/>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7902-4C5C-B28E-3104862DE5A3}"/>
              </c:ext>
            </c:extLst>
          </c:dPt>
          <c:dPt>
            <c:idx val="2"/>
            <c:bubble3D val="0"/>
            <c:spPr>
              <a:noFill/>
              <a:ln w="19050">
                <a:noFill/>
              </a:ln>
              <a:effectLst/>
            </c:spPr>
            <c:extLst>
              <c:ext xmlns:c16="http://schemas.microsoft.com/office/drawing/2014/chart" uri="{C3380CC4-5D6E-409C-BE32-E72D297353CC}">
                <c16:uniqueId val="{0000000C-7902-4C5C-B28E-3104862DE5A3}"/>
              </c:ext>
            </c:extLst>
          </c:dPt>
          <c:cat>
            <c:strRef>
              <c:f>Chart!$D$45:$D$47</c:f>
              <c:strCache>
                <c:ptCount val="3"/>
                <c:pt idx="0">
                  <c:v>PStart</c:v>
                </c:pt>
                <c:pt idx="1">
                  <c:v>Pointer</c:v>
                </c:pt>
                <c:pt idx="2">
                  <c:v>PEnd</c:v>
                </c:pt>
              </c:strCache>
            </c:strRef>
          </c:cat>
          <c:val>
            <c:numRef>
              <c:f>Chart!$H$171:$H$173</c:f>
              <c:numCache>
                <c:formatCode>#,##0_);[Red]\(#,##0\)</c:formatCode>
                <c:ptCount val="3"/>
                <c:pt idx="0">
                  <c:v>76.252499999999998</c:v>
                </c:pt>
                <c:pt idx="1">
                  <c:v>3.4949999999999997</c:v>
                </c:pt>
                <c:pt idx="2">
                  <c:v>386.2525</c:v>
                </c:pt>
              </c:numCache>
            </c:numRef>
          </c:val>
          <c:extLst>
            <c:ext xmlns:c16="http://schemas.microsoft.com/office/drawing/2014/chart" uri="{C3380CC4-5D6E-409C-BE32-E72D297353CC}">
              <c16:uniqueId val="{0000000D-7902-4C5C-B28E-3104862DE5A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lumMod val="50000"/>
              </a:schemeClr>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lumMod val="50000"/>
                </a:schemeClr>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9F6-427F-8878-FFF881113A9E}"/>
              </c:ext>
            </c:extLst>
          </c:dPt>
          <c:dPt>
            <c:idx val="1"/>
            <c:bubble3D val="0"/>
            <c:spPr>
              <a:pattFill prst="pct25">
                <a:fgClr>
                  <a:srgbClr val="76232F"/>
                </a:fgClr>
                <a:bgClr>
                  <a:srgbClr val="FFFFFF"/>
                </a:bgClr>
              </a:patt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9F6-427F-8878-FFF881113A9E}"/>
              </c:ext>
            </c:extLst>
          </c:dPt>
          <c:dPt>
            <c:idx val="2"/>
            <c:bubble3D val="0"/>
            <c:spPr>
              <a:solidFill>
                <a:schemeClr val="bg1"/>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99F6-427F-8878-FFF881113A9E}"/>
              </c:ext>
            </c:extLst>
          </c:dPt>
          <c:dPt>
            <c:idx val="3"/>
            <c:bubble3D val="0"/>
            <c:spPr>
              <a:noFill/>
              <a:ln w="19050">
                <a:noFill/>
              </a:ln>
              <a:effectLst/>
            </c:spPr>
            <c:extLst>
              <c:ext xmlns:c16="http://schemas.microsoft.com/office/drawing/2014/chart" uri="{C3380CC4-5D6E-409C-BE32-E72D297353CC}">
                <c16:uniqueId val="{00000007-7376-40BB-951E-D2D9F729F1B7}"/>
              </c:ext>
            </c:extLst>
          </c:dPt>
          <c:cat>
            <c:strRef>
              <c:f>Chart!$D$45:$D$47</c:f>
              <c:strCache>
                <c:ptCount val="3"/>
                <c:pt idx="0">
                  <c:v>PStart</c:v>
                </c:pt>
                <c:pt idx="1">
                  <c:v>Pointer</c:v>
                </c:pt>
                <c:pt idx="2">
                  <c:v>PEnd</c:v>
                </c:pt>
              </c:strCache>
            </c:strRef>
          </c:cat>
          <c:val>
            <c:numRef>
              <c:f>Chart!$E$179:$E$182</c:f>
              <c:numCache>
                <c:formatCode>#,##0_);[Red]\(#,##0\)</c:formatCode>
                <c:ptCount val="4"/>
                <c:pt idx="0">
                  <c:v>24</c:v>
                </c:pt>
                <c:pt idx="1">
                  <c:v>0</c:v>
                </c:pt>
                <c:pt idx="2">
                  <c:v>0</c:v>
                </c:pt>
                <c:pt idx="3">
                  <c:v>24</c:v>
                </c:pt>
              </c:numCache>
            </c:numRef>
          </c:val>
          <c:extLst>
            <c:ext xmlns:c16="http://schemas.microsoft.com/office/drawing/2014/chart" uri="{C3380CC4-5D6E-409C-BE32-E72D297353CC}">
              <c16:uniqueId val="{00000006-99F6-427F-8878-FFF881113A9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99F6-427F-8878-FFF881113A9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99F6-427F-8878-FFF881113A9E}"/>
              </c:ext>
            </c:extLst>
          </c:dPt>
          <c:dPt>
            <c:idx val="2"/>
            <c:bubble3D val="0"/>
            <c:spPr>
              <a:noFill/>
              <a:ln w="19050">
                <a:noFill/>
              </a:ln>
              <a:effectLst/>
            </c:spPr>
            <c:extLst>
              <c:ext xmlns:c16="http://schemas.microsoft.com/office/drawing/2014/chart" uri="{C3380CC4-5D6E-409C-BE32-E72D297353CC}">
                <c16:uniqueId val="{0000000C-99F6-427F-8878-FFF881113A9E}"/>
              </c:ext>
            </c:extLst>
          </c:dPt>
          <c:cat>
            <c:strRef>
              <c:f>Chart!$D$45:$D$47</c:f>
              <c:strCache>
                <c:ptCount val="3"/>
                <c:pt idx="0">
                  <c:v>PStart</c:v>
                </c:pt>
                <c:pt idx="1">
                  <c:v>Pointer</c:v>
                </c:pt>
                <c:pt idx="2">
                  <c:v>PEnd</c:v>
                </c:pt>
              </c:strCache>
            </c:strRef>
          </c:cat>
          <c:val>
            <c:numRef>
              <c:f>Chart!$E$183:$E$185</c:f>
              <c:numCache>
                <c:formatCode>#,##0_);[Red]\(#,##0\)</c:formatCode>
                <c:ptCount val="3"/>
                <c:pt idx="0">
                  <c:v>11.82</c:v>
                </c:pt>
                <c:pt idx="1">
                  <c:v>0.36</c:v>
                </c:pt>
                <c:pt idx="2">
                  <c:v>35.82</c:v>
                </c:pt>
              </c:numCache>
            </c:numRef>
          </c:val>
          <c:extLst>
            <c:ext xmlns:c16="http://schemas.microsoft.com/office/drawing/2014/chart" uri="{C3380CC4-5D6E-409C-BE32-E72D297353CC}">
              <c16:uniqueId val="{0000000D-99F6-427F-8878-FFF881113A9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rgbClr val="002D72"/>
            </a:solidFill>
            <a:ln>
              <a:solidFill>
                <a:schemeClr val="accent1"/>
              </a:solidFill>
            </a:ln>
            <a:effectLst>
              <a:outerShdw blurRad="50800" dist="38100" dir="8100000" algn="tr" rotWithShape="0">
                <a:prstClr val="black">
                  <a:alpha val="40000"/>
                </a:prstClr>
              </a:outerShdw>
            </a:effectLst>
          </c:spPr>
          <c:dPt>
            <c:idx val="0"/>
            <c:bubble3D val="0"/>
            <c:spPr>
              <a:solidFill>
                <a:srgbClr val="002D72"/>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8F8B-4853-B9DC-D2795AD4AB62}"/>
              </c:ext>
            </c:extLst>
          </c:dPt>
          <c:dPt>
            <c:idx val="1"/>
            <c:bubble3D val="0"/>
            <c:spPr>
              <a:pattFill prst="pct25">
                <a:fgClr>
                  <a:srgbClr val="002D72"/>
                </a:fgClr>
                <a:bgClr>
                  <a:sysClr val="window" lastClr="FFFFFF"/>
                </a:bgClr>
              </a:patt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8F8B-4853-B9DC-D2795AD4AB62}"/>
              </c:ext>
            </c:extLst>
          </c:dPt>
          <c:dPt>
            <c:idx val="2"/>
            <c:bubble3D val="0"/>
            <c:spPr>
              <a:solidFill>
                <a:sysClr val="window" lastClr="FFFFFF"/>
              </a:solidFill>
              <a:ln w="19050">
                <a:solidFill>
                  <a:srgbClr val="002D72"/>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8F8B-4853-B9DC-D2795AD4AB62}"/>
              </c:ext>
            </c:extLst>
          </c:dPt>
          <c:dPt>
            <c:idx val="3"/>
            <c:bubble3D val="0"/>
            <c:spPr>
              <a:noFill/>
              <a:ln w="19050">
                <a:noFill/>
              </a:ln>
              <a:effectLst/>
            </c:spPr>
            <c:extLst>
              <c:ext xmlns:c16="http://schemas.microsoft.com/office/drawing/2014/chart" uri="{C3380CC4-5D6E-409C-BE32-E72D297353CC}">
                <c16:uniqueId val="{00000007-B541-4825-ABA2-02394115B75A}"/>
              </c:ext>
            </c:extLst>
          </c:dPt>
          <c:cat>
            <c:strRef>
              <c:f>Chart!$D$45:$D$47</c:f>
              <c:strCache>
                <c:ptCount val="3"/>
                <c:pt idx="0">
                  <c:v>PStart</c:v>
                </c:pt>
                <c:pt idx="1">
                  <c:v>Pointer</c:v>
                </c:pt>
                <c:pt idx="2">
                  <c:v>PEnd</c:v>
                </c:pt>
              </c:strCache>
            </c:strRef>
          </c:cat>
          <c:val>
            <c:numRef>
              <c:f>Chart!$E$190:$E$193</c:f>
              <c:numCache>
                <c:formatCode>#,##0_);[Red]\(#,##0\)</c:formatCode>
                <c:ptCount val="4"/>
                <c:pt idx="0">
                  <c:v>104</c:v>
                </c:pt>
                <c:pt idx="1">
                  <c:v>0</c:v>
                </c:pt>
                <c:pt idx="2">
                  <c:v>171</c:v>
                </c:pt>
                <c:pt idx="3">
                  <c:v>275</c:v>
                </c:pt>
              </c:numCache>
            </c:numRef>
          </c:val>
          <c:extLst>
            <c:ext xmlns:c16="http://schemas.microsoft.com/office/drawing/2014/chart" uri="{C3380CC4-5D6E-409C-BE32-E72D297353CC}">
              <c16:uniqueId val="{00000006-8F8B-4853-B9DC-D2795AD4AB62}"/>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8F8B-4853-B9DC-D2795AD4AB62}"/>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8F8B-4853-B9DC-D2795AD4AB62}"/>
              </c:ext>
            </c:extLst>
          </c:dPt>
          <c:dPt>
            <c:idx val="2"/>
            <c:bubble3D val="0"/>
            <c:spPr>
              <a:noFill/>
              <a:ln w="19050">
                <a:noFill/>
              </a:ln>
              <a:effectLst/>
            </c:spPr>
            <c:extLst>
              <c:ext xmlns:c16="http://schemas.microsoft.com/office/drawing/2014/chart" uri="{C3380CC4-5D6E-409C-BE32-E72D297353CC}">
                <c16:uniqueId val="{0000000C-8F8B-4853-B9DC-D2795AD4AB62}"/>
              </c:ext>
            </c:extLst>
          </c:dPt>
          <c:cat>
            <c:strRef>
              <c:f>Chart!$D$45:$D$47</c:f>
              <c:strCache>
                <c:ptCount val="3"/>
                <c:pt idx="0">
                  <c:v>PStart</c:v>
                </c:pt>
                <c:pt idx="1">
                  <c:v>Pointer</c:v>
                </c:pt>
                <c:pt idx="2">
                  <c:v>PEnd</c:v>
                </c:pt>
              </c:strCache>
            </c:strRef>
          </c:cat>
          <c:val>
            <c:numRef>
              <c:f>Chart!$E$194:$E$196</c:f>
              <c:numCache>
                <c:formatCode>#,##0_);[Red]\(#,##0\)</c:formatCode>
                <c:ptCount val="3"/>
                <c:pt idx="0">
                  <c:v>27.9375</c:v>
                </c:pt>
                <c:pt idx="1">
                  <c:v>4.125</c:v>
                </c:pt>
                <c:pt idx="2">
                  <c:v>517.9375</c:v>
                </c:pt>
              </c:numCache>
            </c:numRef>
          </c:val>
          <c:extLst>
            <c:ext xmlns:c16="http://schemas.microsoft.com/office/drawing/2014/chart" uri="{C3380CC4-5D6E-409C-BE32-E72D297353CC}">
              <c16:uniqueId val="{0000000D-8F8B-4853-B9DC-D2795AD4AB6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lumMod val="50000"/>
              </a:schemeClr>
            </a:solidFill>
            <a:ln>
              <a:solidFill>
                <a:schemeClr val="accent5">
                  <a:lumMod val="50000"/>
                </a:schemeClr>
              </a:solidFill>
            </a:ln>
            <a:effectLst>
              <a:outerShdw blurRad="50800" dist="38100" dir="8100000" algn="tr" rotWithShape="0">
                <a:prstClr val="black">
                  <a:alpha val="40000"/>
                </a:prstClr>
              </a:outerShdw>
            </a:effectLst>
          </c:spPr>
          <c:dPt>
            <c:idx val="0"/>
            <c:bubble3D val="0"/>
            <c:spPr>
              <a:solidFill>
                <a:schemeClr val="accent5">
                  <a:lumMod val="50000"/>
                </a:schemeClr>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7C1-41EA-A85C-C21B3CBF501C}"/>
              </c:ext>
            </c:extLst>
          </c:dPt>
          <c:dPt>
            <c:idx val="1"/>
            <c:bubble3D val="0"/>
            <c:spPr>
              <a:pattFill prst="pct25">
                <a:fgClr>
                  <a:srgbClr val="F1C400">
                    <a:lumMod val="50000"/>
                  </a:srgbClr>
                </a:fgClr>
                <a:bgClr>
                  <a:sysClr val="window" lastClr="FFFFFF"/>
                </a:bgClr>
              </a:patt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7C1-41EA-A85C-C21B3CBF501C}"/>
              </c:ext>
            </c:extLst>
          </c:dPt>
          <c:dPt>
            <c:idx val="2"/>
            <c:bubble3D val="0"/>
            <c:spPr>
              <a:solidFill>
                <a:schemeClr val="bg1"/>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E7C1-41EA-A85C-C21B3CBF501C}"/>
              </c:ext>
            </c:extLst>
          </c:dPt>
          <c:dPt>
            <c:idx val="3"/>
            <c:bubble3D val="0"/>
            <c:spPr>
              <a:noFill/>
              <a:ln w="19050">
                <a:noFill/>
              </a:ln>
              <a:effectLst/>
            </c:spPr>
            <c:extLst>
              <c:ext xmlns:c16="http://schemas.microsoft.com/office/drawing/2014/chart" uri="{C3380CC4-5D6E-409C-BE32-E72D297353CC}">
                <c16:uniqueId val="{00000007-7439-450B-BEF5-A4F61814ACF0}"/>
              </c:ext>
            </c:extLst>
          </c:dPt>
          <c:cat>
            <c:strRef>
              <c:f>Chart!$D$45:$D$47</c:f>
              <c:strCache>
                <c:ptCount val="3"/>
                <c:pt idx="0">
                  <c:v>PStart</c:v>
                </c:pt>
                <c:pt idx="1">
                  <c:v>Pointer</c:v>
                </c:pt>
                <c:pt idx="2">
                  <c:v>PEnd</c:v>
                </c:pt>
              </c:strCache>
            </c:strRef>
          </c:cat>
          <c:val>
            <c:numRef>
              <c:f>Chart!$F$179:$F$182</c:f>
              <c:numCache>
                <c:formatCode>#,##0_);[Red]\(#,##0\)</c:formatCode>
                <c:ptCount val="4"/>
                <c:pt idx="0">
                  <c:v>24</c:v>
                </c:pt>
                <c:pt idx="1">
                  <c:v>0</c:v>
                </c:pt>
                <c:pt idx="2">
                  <c:v>0</c:v>
                </c:pt>
                <c:pt idx="3">
                  <c:v>24</c:v>
                </c:pt>
              </c:numCache>
            </c:numRef>
          </c:val>
          <c:extLst>
            <c:ext xmlns:c16="http://schemas.microsoft.com/office/drawing/2014/chart" uri="{C3380CC4-5D6E-409C-BE32-E72D297353CC}">
              <c16:uniqueId val="{00000006-E7C1-41EA-A85C-C21B3CBF501C}"/>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E7C1-41EA-A85C-C21B3CBF501C}"/>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E7C1-41EA-A85C-C21B3CBF501C}"/>
              </c:ext>
            </c:extLst>
          </c:dPt>
          <c:dPt>
            <c:idx val="2"/>
            <c:bubble3D val="0"/>
            <c:spPr>
              <a:noFill/>
              <a:ln w="19050">
                <a:noFill/>
              </a:ln>
              <a:effectLst/>
            </c:spPr>
            <c:extLst>
              <c:ext xmlns:c16="http://schemas.microsoft.com/office/drawing/2014/chart" uri="{C3380CC4-5D6E-409C-BE32-E72D297353CC}">
                <c16:uniqueId val="{0000000C-E7C1-41EA-A85C-C21B3CBF501C}"/>
              </c:ext>
            </c:extLst>
          </c:dPt>
          <c:cat>
            <c:strRef>
              <c:f>Chart!$D$45:$D$47</c:f>
              <c:strCache>
                <c:ptCount val="3"/>
                <c:pt idx="0">
                  <c:v>PStart</c:v>
                </c:pt>
                <c:pt idx="1">
                  <c:v>Pointer</c:v>
                </c:pt>
                <c:pt idx="2">
                  <c:v>PEnd</c:v>
                </c:pt>
              </c:strCache>
            </c:strRef>
          </c:cat>
          <c:val>
            <c:numRef>
              <c:f>Chart!$F$183:$F$185</c:f>
              <c:numCache>
                <c:formatCode>#,##0_);[Red]\(#,##0\)</c:formatCode>
                <c:ptCount val="3"/>
                <c:pt idx="0">
                  <c:v>11.82</c:v>
                </c:pt>
                <c:pt idx="1">
                  <c:v>0.36</c:v>
                </c:pt>
                <c:pt idx="2">
                  <c:v>35.82</c:v>
                </c:pt>
              </c:numCache>
            </c:numRef>
          </c:val>
          <c:extLst>
            <c:ext xmlns:c16="http://schemas.microsoft.com/office/drawing/2014/chart" uri="{C3380CC4-5D6E-409C-BE32-E72D297353CC}">
              <c16:uniqueId val="{0000000D-E7C1-41EA-A85C-C21B3CBF501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solidFill>
            <a:ln>
              <a:solidFill>
                <a:schemeClr val="accent5"/>
              </a:solidFill>
            </a:ln>
            <a:effectLst>
              <a:outerShdw blurRad="50800" dist="38100" dir="8100000" algn="tr" rotWithShape="0">
                <a:prstClr val="black">
                  <a:alpha val="40000"/>
                </a:prstClr>
              </a:outerShdw>
            </a:effectLst>
          </c:spPr>
          <c:dPt>
            <c:idx val="0"/>
            <c:bubble3D val="0"/>
            <c:spPr>
              <a:solidFill>
                <a:schemeClr val="accent5"/>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F16-4B89-9ED8-A7138BC9168E}"/>
              </c:ext>
            </c:extLst>
          </c:dPt>
          <c:dPt>
            <c:idx val="1"/>
            <c:bubble3D val="0"/>
            <c:spPr>
              <a:pattFill prst="pct25">
                <a:fgClr>
                  <a:srgbClr val="F1C400"/>
                </a:fgClr>
                <a:bgClr>
                  <a:sysClr val="window" lastClr="FFFFFF"/>
                </a:bgClr>
              </a:patt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F16-4B89-9ED8-A7138BC9168E}"/>
              </c:ext>
            </c:extLst>
          </c:dPt>
          <c:dPt>
            <c:idx val="2"/>
            <c:bubble3D val="0"/>
            <c:spPr>
              <a:solidFill>
                <a:schemeClr val="bg1"/>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2F16-4B89-9ED8-A7138BC9168E}"/>
              </c:ext>
            </c:extLst>
          </c:dPt>
          <c:dPt>
            <c:idx val="3"/>
            <c:bubble3D val="0"/>
            <c:spPr>
              <a:noFill/>
              <a:ln w="19050">
                <a:noFill/>
              </a:ln>
              <a:effectLst/>
            </c:spPr>
            <c:extLst>
              <c:ext xmlns:c16="http://schemas.microsoft.com/office/drawing/2014/chart" uri="{C3380CC4-5D6E-409C-BE32-E72D297353CC}">
                <c16:uniqueId val="{00000007-4EBF-45C0-BA27-E1AC4A92DA0B}"/>
              </c:ext>
            </c:extLst>
          </c:dPt>
          <c:cat>
            <c:strRef>
              <c:f>Chart!$D$45:$D$47</c:f>
              <c:strCache>
                <c:ptCount val="3"/>
                <c:pt idx="0">
                  <c:v>PStart</c:v>
                </c:pt>
                <c:pt idx="1">
                  <c:v>Pointer</c:v>
                </c:pt>
                <c:pt idx="2">
                  <c:v>PEnd</c:v>
                </c:pt>
              </c:strCache>
            </c:strRef>
          </c:cat>
          <c:val>
            <c:numRef>
              <c:f>Chart!$F$190:$F$193</c:f>
              <c:numCache>
                <c:formatCode>#,##0_);[Red]\(#,##0\)</c:formatCode>
                <c:ptCount val="4"/>
                <c:pt idx="0">
                  <c:v>104</c:v>
                </c:pt>
                <c:pt idx="1">
                  <c:v>0</c:v>
                </c:pt>
                <c:pt idx="2">
                  <c:v>171</c:v>
                </c:pt>
                <c:pt idx="3">
                  <c:v>275</c:v>
                </c:pt>
              </c:numCache>
            </c:numRef>
          </c:val>
          <c:extLst>
            <c:ext xmlns:c16="http://schemas.microsoft.com/office/drawing/2014/chart" uri="{C3380CC4-5D6E-409C-BE32-E72D297353CC}">
              <c16:uniqueId val="{00000006-2F16-4B89-9ED8-A7138BC9168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2F16-4B89-9ED8-A7138BC9168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F16-4B89-9ED8-A7138BC9168E}"/>
              </c:ext>
            </c:extLst>
          </c:dPt>
          <c:dPt>
            <c:idx val="2"/>
            <c:bubble3D val="0"/>
            <c:spPr>
              <a:noFill/>
              <a:ln w="19050">
                <a:noFill/>
              </a:ln>
              <a:effectLst/>
            </c:spPr>
            <c:extLst>
              <c:ext xmlns:c16="http://schemas.microsoft.com/office/drawing/2014/chart" uri="{C3380CC4-5D6E-409C-BE32-E72D297353CC}">
                <c16:uniqueId val="{0000000C-2F16-4B89-9ED8-A7138BC9168E}"/>
              </c:ext>
            </c:extLst>
          </c:dPt>
          <c:cat>
            <c:strRef>
              <c:f>Chart!$D$45:$D$47</c:f>
              <c:strCache>
                <c:ptCount val="3"/>
                <c:pt idx="0">
                  <c:v>PStart</c:v>
                </c:pt>
                <c:pt idx="1">
                  <c:v>Pointer</c:v>
                </c:pt>
                <c:pt idx="2">
                  <c:v>PEnd</c:v>
                </c:pt>
              </c:strCache>
            </c:strRef>
          </c:cat>
          <c:val>
            <c:numRef>
              <c:f>Chart!$F$194:$F$196</c:f>
              <c:numCache>
                <c:formatCode>#,##0_);[Red]\(#,##0\)</c:formatCode>
                <c:ptCount val="3"/>
                <c:pt idx="0">
                  <c:v>51.9375</c:v>
                </c:pt>
                <c:pt idx="1">
                  <c:v>4.125</c:v>
                </c:pt>
                <c:pt idx="2">
                  <c:v>493.9375</c:v>
                </c:pt>
              </c:numCache>
            </c:numRef>
          </c:val>
          <c:extLst>
            <c:ext xmlns:c16="http://schemas.microsoft.com/office/drawing/2014/chart" uri="{C3380CC4-5D6E-409C-BE32-E72D297353CC}">
              <c16:uniqueId val="{0000000D-2F16-4B89-9ED8-A7138BC9168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lumMod val="75000"/>
              </a:schemeClr>
            </a:solidFill>
            <a:ln>
              <a:solidFill>
                <a:schemeClr val="accent6">
                  <a:lumMod val="75000"/>
                </a:schemeClr>
              </a:solidFill>
            </a:ln>
            <a:effectLst>
              <a:outerShdw blurRad="50800" dist="38100" dir="8100000" algn="tr" rotWithShape="0">
                <a:prstClr val="black">
                  <a:alpha val="40000"/>
                </a:prstClr>
              </a:outerShdw>
            </a:effectLst>
          </c:spPr>
          <c:dPt>
            <c:idx val="0"/>
            <c:bubble3D val="0"/>
            <c:spPr>
              <a:solidFill>
                <a:schemeClr val="accent6">
                  <a:lumMod val="75000"/>
                </a:schemeClr>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869-49EB-8C1F-9C99189592E8}"/>
              </c:ext>
            </c:extLst>
          </c:dPt>
          <c:dPt>
            <c:idx val="1"/>
            <c:bubble3D val="0"/>
            <c:spPr>
              <a:pattFill prst="pct25">
                <a:fgClr>
                  <a:srgbClr val="76232F">
                    <a:lumMod val="75000"/>
                  </a:srgbClr>
                </a:fgClr>
                <a:bgClr>
                  <a:sysClr val="window" lastClr="FFFFFF"/>
                </a:bgClr>
              </a:patt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869-49EB-8C1F-9C99189592E8}"/>
              </c:ext>
            </c:extLst>
          </c:dPt>
          <c:dPt>
            <c:idx val="2"/>
            <c:bubble3D val="0"/>
            <c:spPr>
              <a:solidFill>
                <a:schemeClr val="bg1"/>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C869-49EB-8C1F-9C99189592E8}"/>
              </c:ext>
            </c:extLst>
          </c:dPt>
          <c:dPt>
            <c:idx val="3"/>
            <c:bubble3D val="0"/>
            <c:spPr>
              <a:noFill/>
              <a:ln w="19050">
                <a:noFill/>
              </a:ln>
              <a:effectLst/>
            </c:spPr>
            <c:extLst>
              <c:ext xmlns:c16="http://schemas.microsoft.com/office/drawing/2014/chart" uri="{C3380CC4-5D6E-409C-BE32-E72D297353CC}">
                <c16:uniqueId val="{00000007-6924-4EDF-BD73-BDD58BF78AD7}"/>
              </c:ext>
            </c:extLst>
          </c:dPt>
          <c:cat>
            <c:strRef>
              <c:f>Chart!$D$45:$D$47</c:f>
              <c:strCache>
                <c:ptCount val="3"/>
                <c:pt idx="0">
                  <c:v>PStart</c:v>
                </c:pt>
                <c:pt idx="1">
                  <c:v>Pointer</c:v>
                </c:pt>
                <c:pt idx="2">
                  <c:v>PEnd</c:v>
                </c:pt>
              </c:strCache>
            </c:strRef>
          </c:cat>
          <c:val>
            <c:numRef>
              <c:f>Chart!$G$179:$G$182</c:f>
              <c:numCache>
                <c:formatCode>#,##0_);[Red]\(#,##0\)</c:formatCode>
                <c:ptCount val="4"/>
                <c:pt idx="0">
                  <c:v>24</c:v>
                </c:pt>
                <c:pt idx="1">
                  <c:v>0</c:v>
                </c:pt>
                <c:pt idx="2">
                  <c:v>0</c:v>
                </c:pt>
                <c:pt idx="3">
                  <c:v>24</c:v>
                </c:pt>
              </c:numCache>
            </c:numRef>
          </c:val>
          <c:extLst>
            <c:ext xmlns:c16="http://schemas.microsoft.com/office/drawing/2014/chart" uri="{C3380CC4-5D6E-409C-BE32-E72D297353CC}">
              <c16:uniqueId val="{00000006-C869-49EB-8C1F-9C99189592E8}"/>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C869-49EB-8C1F-9C99189592E8}"/>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C869-49EB-8C1F-9C99189592E8}"/>
              </c:ext>
            </c:extLst>
          </c:dPt>
          <c:dPt>
            <c:idx val="2"/>
            <c:bubble3D val="0"/>
            <c:spPr>
              <a:noFill/>
              <a:ln w="19050">
                <a:noFill/>
              </a:ln>
              <a:effectLst/>
            </c:spPr>
            <c:extLst>
              <c:ext xmlns:c16="http://schemas.microsoft.com/office/drawing/2014/chart" uri="{C3380CC4-5D6E-409C-BE32-E72D297353CC}">
                <c16:uniqueId val="{0000000C-C869-49EB-8C1F-9C99189592E8}"/>
              </c:ext>
            </c:extLst>
          </c:dPt>
          <c:cat>
            <c:strRef>
              <c:f>Chart!$D$45:$D$47</c:f>
              <c:strCache>
                <c:ptCount val="3"/>
                <c:pt idx="0">
                  <c:v>PStart</c:v>
                </c:pt>
                <c:pt idx="1">
                  <c:v>Pointer</c:v>
                </c:pt>
                <c:pt idx="2">
                  <c:v>PEnd</c:v>
                </c:pt>
              </c:strCache>
            </c:strRef>
          </c:cat>
          <c:val>
            <c:numRef>
              <c:f>Chart!$G$183:$G$185</c:f>
              <c:numCache>
                <c:formatCode>#,##0_);[Red]\(#,##0\)</c:formatCode>
                <c:ptCount val="3"/>
                <c:pt idx="0">
                  <c:v>11.82</c:v>
                </c:pt>
                <c:pt idx="1">
                  <c:v>0.36</c:v>
                </c:pt>
                <c:pt idx="2">
                  <c:v>35.82</c:v>
                </c:pt>
              </c:numCache>
            </c:numRef>
          </c:val>
          <c:extLst>
            <c:ext xmlns:c16="http://schemas.microsoft.com/office/drawing/2014/chart" uri="{C3380CC4-5D6E-409C-BE32-E72D297353CC}">
              <c16:uniqueId val="{0000000D-C869-49EB-8C1F-9C99189592E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solidFill>
                <a:schemeClr val="accent6"/>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7DD-4BB9-92B9-51C29E84CB56}"/>
              </c:ext>
            </c:extLst>
          </c:dPt>
          <c:dPt>
            <c:idx val="1"/>
            <c:bubble3D val="0"/>
            <c:spPr>
              <a:pattFill prst="pct25">
                <a:fgClr>
                  <a:srgbClr val="76232F"/>
                </a:fgClr>
                <a:bgClr>
                  <a:sysClr val="window" lastClr="FFFFFF"/>
                </a:bgClr>
              </a:patt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7DD-4BB9-92B9-51C29E84CB56}"/>
              </c:ext>
            </c:extLst>
          </c:dPt>
          <c:dPt>
            <c:idx val="2"/>
            <c:bubble3D val="0"/>
            <c:spPr>
              <a:solidFill>
                <a:schemeClr val="bg1"/>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A7DD-4BB9-92B9-51C29E84CB56}"/>
              </c:ext>
            </c:extLst>
          </c:dPt>
          <c:dPt>
            <c:idx val="3"/>
            <c:bubble3D val="0"/>
            <c:spPr>
              <a:noFill/>
              <a:ln w="19050">
                <a:noFill/>
              </a:ln>
              <a:effectLst/>
            </c:spPr>
            <c:extLst>
              <c:ext xmlns:c16="http://schemas.microsoft.com/office/drawing/2014/chart" uri="{C3380CC4-5D6E-409C-BE32-E72D297353CC}">
                <c16:uniqueId val="{00000007-8DB1-4950-B27D-2A1D74442C52}"/>
              </c:ext>
            </c:extLst>
          </c:dPt>
          <c:cat>
            <c:strRef>
              <c:f>Chart!$D$45:$D$47</c:f>
              <c:strCache>
                <c:ptCount val="3"/>
                <c:pt idx="0">
                  <c:v>PStart</c:v>
                </c:pt>
                <c:pt idx="1">
                  <c:v>Pointer</c:v>
                </c:pt>
                <c:pt idx="2">
                  <c:v>PEnd</c:v>
                </c:pt>
              </c:strCache>
            </c:strRef>
          </c:cat>
          <c:val>
            <c:numRef>
              <c:f>Chart!$G$190:$G$193</c:f>
              <c:numCache>
                <c:formatCode>#,##0_);[Red]\(#,##0\)</c:formatCode>
                <c:ptCount val="4"/>
                <c:pt idx="0">
                  <c:v>104</c:v>
                </c:pt>
                <c:pt idx="1">
                  <c:v>0</c:v>
                </c:pt>
                <c:pt idx="2">
                  <c:v>171</c:v>
                </c:pt>
                <c:pt idx="3">
                  <c:v>275</c:v>
                </c:pt>
              </c:numCache>
            </c:numRef>
          </c:val>
          <c:extLst>
            <c:ext xmlns:c16="http://schemas.microsoft.com/office/drawing/2014/chart" uri="{C3380CC4-5D6E-409C-BE32-E72D297353CC}">
              <c16:uniqueId val="{00000006-A7DD-4BB9-92B9-51C29E84CB56}"/>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A7DD-4BB9-92B9-51C29E84CB56}"/>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A7DD-4BB9-92B9-51C29E84CB56}"/>
              </c:ext>
            </c:extLst>
          </c:dPt>
          <c:dPt>
            <c:idx val="2"/>
            <c:bubble3D val="0"/>
            <c:spPr>
              <a:noFill/>
              <a:ln w="19050">
                <a:noFill/>
              </a:ln>
              <a:effectLst/>
            </c:spPr>
            <c:extLst>
              <c:ext xmlns:c16="http://schemas.microsoft.com/office/drawing/2014/chart" uri="{C3380CC4-5D6E-409C-BE32-E72D297353CC}">
                <c16:uniqueId val="{0000000C-A7DD-4BB9-92B9-51C29E84CB56}"/>
              </c:ext>
            </c:extLst>
          </c:dPt>
          <c:cat>
            <c:strRef>
              <c:f>Chart!$D$45:$D$47</c:f>
              <c:strCache>
                <c:ptCount val="3"/>
                <c:pt idx="0">
                  <c:v>PStart</c:v>
                </c:pt>
                <c:pt idx="1">
                  <c:v>Pointer</c:v>
                </c:pt>
                <c:pt idx="2">
                  <c:v>PEnd</c:v>
                </c:pt>
              </c:strCache>
            </c:strRef>
          </c:cat>
          <c:val>
            <c:numRef>
              <c:f>Chart!$G$194:$G$196</c:f>
              <c:numCache>
                <c:formatCode>#,##0_);[Red]\(#,##0\)</c:formatCode>
                <c:ptCount val="3"/>
                <c:pt idx="0">
                  <c:v>51.9375</c:v>
                </c:pt>
                <c:pt idx="1">
                  <c:v>4.125</c:v>
                </c:pt>
                <c:pt idx="2">
                  <c:v>493.9375</c:v>
                </c:pt>
              </c:numCache>
            </c:numRef>
          </c:val>
          <c:extLst>
            <c:ext xmlns:c16="http://schemas.microsoft.com/office/drawing/2014/chart" uri="{C3380CC4-5D6E-409C-BE32-E72D297353CC}">
              <c16:uniqueId val="{0000000D-A7DD-4BB9-92B9-51C29E84CB5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lumMod val="50000"/>
              </a:schemeClr>
            </a:solidFill>
            <a:ln>
              <a:solidFill>
                <a:schemeClr val="accent4">
                  <a:lumMod val="50000"/>
                </a:schemeClr>
              </a:solidFill>
            </a:ln>
            <a:effectLst>
              <a:outerShdw blurRad="50800" dist="38100" dir="8100000" algn="tr" rotWithShape="0">
                <a:prstClr val="black">
                  <a:alpha val="40000"/>
                </a:prstClr>
              </a:outerShdw>
            </a:effectLst>
          </c:spPr>
          <c:dPt>
            <c:idx val="0"/>
            <c:bubble3D val="0"/>
            <c:spPr>
              <a:solidFill>
                <a:schemeClr val="accent4">
                  <a:lumMod val="50000"/>
                </a:schemeClr>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C8D-4FCA-8476-E5AFCFC1EA30}"/>
              </c:ext>
            </c:extLst>
          </c:dPt>
          <c:dPt>
            <c:idx val="1"/>
            <c:bubble3D val="0"/>
            <c:spPr>
              <a:pattFill prst="pct25">
                <a:fgClr>
                  <a:srgbClr val="009B77">
                    <a:lumMod val="50000"/>
                  </a:srgbClr>
                </a:fgClr>
                <a:bgClr>
                  <a:sysClr val="window" lastClr="FFFFFF"/>
                </a:bgClr>
              </a:patt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C8D-4FCA-8476-E5AFCFC1EA30}"/>
              </c:ext>
            </c:extLst>
          </c:dPt>
          <c:dPt>
            <c:idx val="2"/>
            <c:bubble3D val="0"/>
            <c:spPr>
              <a:solidFill>
                <a:schemeClr val="bg1"/>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DC8D-4FCA-8476-E5AFCFC1EA30}"/>
              </c:ext>
            </c:extLst>
          </c:dPt>
          <c:dPt>
            <c:idx val="3"/>
            <c:bubble3D val="0"/>
            <c:spPr>
              <a:noFill/>
              <a:ln w="19050">
                <a:noFill/>
              </a:ln>
              <a:effectLst/>
            </c:spPr>
            <c:extLst>
              <c:ext xmlns:c16="http://schemas.microsoft.com/office/drawing/2014/chart" uri="{C3380CC4-5D6E-409C-BE32-E72D297353CC}">
                <c16:uniqueId val="{00000007-CFBB-46A9-A994-D19F5D43EA13}"/>
              </c:ext>
            </c:extLst>
          </c:dPt>
          <c:cat>
            <c:strRef>
              <c:f>Chart!$D$45:$D$47</c:f>
              <c:strCache>
                <c:ptCount val="3"/>
                <c:pt idx="0">
                  <c:v>PStart</c:v>
                </c:pt>
                <c:pt idx="1">
                  <c:v>Pointer</c:v>
                </c:pt>
                <c:pt idx="2">
                  <c:v>PEnd</c:v>
                </c:pt>
              </c:strCache>
            </c:strRef>
          </c:cat>
          <c:val>
            <c:numRef>
              <c:f>Chart!$H$179:$H$182</c:f>
              <c:numCache>
                <c:formatCode>#,##0_);[Red]\(#,##0\)</c:formatCode>
                <c:ptCount val="4"/>
                <c:pt idx="0">
                  <c:v>24</c:v>
                </c:pt>
                <c:pt idx="1">
                  <c:v>0</c:v>
                </c:pt>
                <c:pt idx="2">
                  <c:v>0</c:v>
                </c:pt>
                <c:pt idx="3">
                  <c:v>24</c:v>
                </c:pt>
              </c:numCache>
            </c:numRef>
          </c:val>
          <c:extLst>
            <c:ext xmlns:c16="http://schemas.microsoft.com/office/drawing/2014/chart" uri="{C3380CC4-5D6E-409C-BE32-E72D297353CC}">
              <c16:uniqueId val="{00000006-DC8D-4FCA-8476-E5AFCFC1EA30}"/>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DC8D-4FCA-8476-E5AFCFC1EA30}"/>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DC8D-4FCA-8476-E5AFCFC1EA30}"/>
              </c:ext>
            </c:extLst>
          </c:dPt>
          <c:dPt>
            <c:idx val="2"/>
            <c:bubble3D val="0"/>
            <c:spPr>
              <a:noFill/>
              <a:ln w="19050">
                <a:noFill/>
              </a:ln>
              <a:effectLst/>
            </c:spPr>
            <c:extLst>
              <c:ext xmlns:c16="http://schemas.microsoft.com/office/drawing/2014/chart" uri="{C3380CC4-5D6E-409C-BE32-E72D297353CC}">
                <c16:uniqueId val="{0000000C-DC8D-4FCA-8476-E5AFCFC1EA30}"/>
              </c:ext>
            </c:extLst>
          </c:dPt>
          <c:cat>
            <c:strRef>
              <c:f>Chart!$D$45:$D$47</c:f>
              <c:strCache>
                <c:ptCount val="3"/>
                <c:pt idx="0">
                  <c:v>PStart</c:v>
                </c:pt>
                <c:pt idx="1">
                  <c:v>Pointer</c:v>
                </c:pt>
                <c:pt idx="2">
                  <c:v>PEnd</c:v>
                </c:pt>
              </c:strCache>
            </c:strRef>
          </c:cat>
          <c:val>
            <c:numRef>
              <c:f>Chart!$H$183:$H$185</c:f>
              <c:numCache>
                <c:formatCode>#,##0_);[Red]\(#,##0\)</c:formatCode>
                <c:ptCount val="3"/>
                <c:pt idx="0">
                  <c:v>11.82</c:v>
                </c:pt>
                <c:pt idx="1">
                  <c:v>0.36</c:v>
                </c:pt>
                <c:pt idx="2">
                  <c:v>35.82</c:v>
                </c:pt>
              </c:numCache>
            </c:numRef>
          </c:val>
          <c:extLst>
            <c:ext xmlns:c16="http://schemas.microsoft.com/office/drawing/2014/chart" uri="{C3380CC4-5D6E-409C-BE32-E72D297353CC}">
              <c16:uniqueId val="{0000000D-DC8D-4FCA-8476-E5AFCFC1EA3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solidFill>
            <a:ln>
              <a:solidFill>
                <a:schemeClr val="accent4"/>
              </a:solidFill>
            </a:ln>
            <a:effectLst>
              <a:outerShdw blurRad="50800" dist="38100" dir="8100000" algn="tr" rotWithShape="0">
                <a:prstClr val="black">
                  <a:alpha val="40000"/>
                </a:prstClr>
              </a:outerShdw>
            </a:effectLst>
          </c:spPr>
          <c:dPt>
            <c:idx val="0"/>
            <c:bubble3D val="0"/>
            <c:spPr>
              <a:solidFill>
                <a:schemeClr val="accent4"/>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902-4C5C-B28E-3104862DE5A3}"/>
              </c:ext>
            </c:extLst>
          </c:dPt>
          <c:dPt>
            <c:idx val="1"/>
            <c:bubble3D val="0"/>
            <c:spPr>
              <a:pattFill prst="pct25">
                <a:fgClr>
                  <a:srgbClr val="009B77"/>
                </a:fgClr>
                <a:bgClr>
                  <a:sysClr val="window" lastClr="FFFFFF"/>
                </a:bgClr>
              </a:patt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902-4C5C-B28E-3104862DE5A3}"/>
              </c:ext>
            </c:extLst>
          </c:dPt>
          <c:dPt>
            <c:idx val="2"/>
            <c:bubble3D val="0"/>
            <c:spPr>
              <a:solidFill>
                <a:schemeClr val="bg1"/>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7902-4C5C-B28E-3104862DE5A3}"/>
              </c:ext>
            </c:extLst>
          </c:dPt>
          <c:dPt>
            <c:idx val="3"/>
            <c:bubble3D val="0"/>
            <c:spPr>
              <a:noFill/>
              <a:ln w="19050">
                <a:noFill/>
              </a:ln>
              <a:effectLst/>
            </c:spPr>
            <c:extLst>
              <c:ext xmlns:c16="http://schemas.microsoft.com/office/drawing/2014/chart" uri="{C3380CC4-5D6E-409C-BE32-E72D297353CC}">
                <c16:uniqueId val="{00000007-DB7B-45C4-BD91-9CF2216F96DE}"/>
              </c:ext>
            </c:extLst>
          </c:dPt>
          <c:cat>
            <c:strRef>
              <c:f>Chart!$D$45:$D$47</c:f>
              <c:strCache>
                <c:ptCount val="3"/>
                <c:pt idx="0">
                  <c:v>PStart</c:v>
                </c:pt>
                <c:pt idx="1">
                  <c:v>Pointer</c:v>
                </c:pt>
                <c:pt idx="2">
                  <c:v>PEnd</c:v>
                </c:pt>
              </c:strCache>
            </c:strRef>
          </c:cat>
          <c:val>
            <c:numRef>
              <c:f>Chart!$H$190:$H$193</c:f>
              <c:numCache>
                <c:formatCode>#,##0_);[Red]\(#,##0\)</c:formatCode>
                <c:ptCount val="4"/>
                <c:pt idx="0">
                  <c:v>104</c:v>
                </c:pt>
                <c:pt idx="1">
                  <c:v>0</c:v>
                </c:pt>
                <c:pt idx="2">
                  <c:v>171</c:v>
                </c:pt>
                <c:pt idx="3">
                  <c:v>275</c:v>
                </c:pt>
              </c:numCache>
            </c:numRef>
          </c:val>
          <c:extLst>
            <c:ext xmlns:c16="http://schemas.microsoft.com/office/drawing/2014/chart" uri="{C3380CC4-5D6E-409C-BE32-E72D297353CC}">
              <c16:uniqueId val="{00000006-7902-4C5C-B28E-3104862DE5A3}"/>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7902-4C5C-B28E-3104862DE5A3}"/>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7902-4C5C-B28E-3104862DE5A3}"/>
              </c:ext>
            </c:extLst>
          </c:dPt>
          <c:dPt>
            <c:idx val="2"/>
            <c:bubble3D val="0"/>
            <c:spPr>
              <a:noFill/>
              <a:ln w="19050">
                <a:noFill/>
              </a:ln>
              <a:effectLst/>
            </c:spPr>
            <c:extLst>
              <c:ext xmlns:c16="http://schemas.microsoft.com/office/drawing/2014/chart" uri="{C3380CC4-5D6E-409C-BE32-E72D297353CC}">
                <c16:uniqueId val="{0000000C-7902-4C5C-B28E-3104862DE5A3}"/>
              </c:ext>
            </c:extLst>
          </c:dPt>
          <c:cat>
            <c:strRef>
              <c:f>Chart!$D$45:$D$47</c:f>
              <c:strCache>
                <c:ptCount val="3"/>
                <c:pt idx="0">
                  <c:v>PStart</c:v>
                </c:pt>
                <c:pt idx="1">
                  <c:v>Pointer</c:v>
                </c:pt>
                <c:pt idx="2">
                  <c:v>PEnd</c:v>
                </c:pt>
              </c:strCache>
            </c:strRef>
          </c:cat>
          <c:val>
            <c:numRef>
              <c:f>Chart!$H$194:$H$196</c:f>
              <c:numCache>
                <c:formatCode>#,##0_);[Red]\(#,##0\)</c:formatCode>
                <c:ptCount val="3"/>
                <c:pt idx="0">
                  <c:v>51.9375</c:v>
                </c:pt>
                <c:pt idx="1">
                  <c:v>4.125</c:v>
                </c:pt>
                <c:pt idx="2">
                  <c:v>493.9375</c:v>
                </c:pt>
              </c:numCache>
            </c:numRef>
          </c:val>
          <c:extLst>
            <c:ext xmlns:c16="http://schemas.microsoft.com/office/drawing/2014/chart" uri="{C3380CC4-5D6E-409C-BE32-E72D297353CC}">
              <c16:uniqueId val="{0000000D-7902-4C5C-B28E-3104862DE5A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lumMod val="50000"/>
              </a:schemeClr>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lumMod val="50000"/>
                </a:schemeClr>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9F6-427F-8878-FFF881113A9E}"/>
              </c:ext>
            </c:extLst>
          </c:dPt>
          <c:dPt>
            <c:idx val="1"/>
            <c:bubble3D val="0"/>
            <c:spPr>
              <a:pattFill prst="pct25">
                <a:fgClr>
                  <a:srgbClr val="002D72">
                    <a:lumMod val="50000"/>
                  </a:srgbClr>
                </a:fgClr>
                <a:bgClr>
                  <a:sysClr val="window" lastClr="FFFFFF"/>
                </a:bgClr>
              </a:patt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9F6-427F-8878-FFF881113A9E}"/>
              </c:ext>
            </c:extLst>
          </c:dPt>
          <c:dPt>
            <c:idx val="2"/>
            <c:bubble3D val="0"/>
            <c:spPr>
              <a:solidFill>
                <a:schemeClr val="bg1"/>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99F6-427F-8878-FFF881113A9E}"/>
              </c:ext>
            </c:extLst>
          </c:dPt>
          <c:dPt>
            <c:idx val="3"/>
            <c:bubble3D val="0"/>
            <c:spPr>
              <a:noFill/>
              <a:ln w="19050">
                <a:noFill/>
              </a:ln>
              <a:effectLst/>
            </c:spPr>
            <c:extLst>
              <c:ext xmlns:c16="http://schemas.microsoft.com/office/drawing/2014/chart" uri="{C3380CC4-5D6E-409C-BE32-E72D297353CC}">
                <c16:uniqueId val="{00000007-B206-44B9-94B4-649EAD65DAD6}"/>
              </c:ext>
            </c:extLst>
          </c:dPt>
          <c:cat>
            <c:strRef>
              <c:f>Chart!$D$45:$D$47</c:f>
              <c:strCache>
                <c:ptCount val="3"/>
                <c:pt idx="0">
                  <c:v>PStart</c:v>
                </c:pt>
                <c:pt idx="1">
                  <c:v>Pointer</c:v>
                </c:pt>
                <c:pt idx="2">
                  <c:v>PEnd</c:v>
                </c:pt>
              </c:strCache>
            </c:strRef>
          </c:cat>
          <c:val>
            <c:numRef>
              <c:f>Chart!$E$64:$E$67</c:f>
              <c:numCache>
                <c:formatCode>#,##0_);[Red]\(#,##0\)</c:formatCode>
                <c:ptCount val="4"/>
                <c:pt idx="0">
                  <c:v>302</c:v>
                </c:pt>
                <c:pt idx="1">
                  <c:v>127</c:v>
                </c:pt>
                <c:pt idx="2">
                  <c:v>248</c:v>
                </c:pt>
                <c:pt idx="3">
                  <c:v>677</c:v>
                </c:pt>
              </c:numCache>
            </c:numRef>
          </c:val>
          <c:extLst>
            <c:ext xmlns:c16="http://schemas.microsoft.com/office/drawing/2014/chart" uri="{C3380CC4-5D6E-409C-BE32-E72D297353CC}">
              <c16:uniqueId val="{00000006-99F6-427F-8878-FFF881113A9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99F6-427F-8878-FFF881113A9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99F6-427F-8878-FFF881113A9E}"/>
              </c:ext>
            </c:extLst>
          </c:dPt>
          <c:dPt>
            <c:idx val="2"/>
            <c:bubble3D val="0"/>
            <c:spPr>
              <a:noFill/>
              <a:ln w="19050">
                <a:noFill/>
              </a:ln>
              <a:effectLst/>
            </c:spPr>
            <c:extLst>
              <c:ext xmlns:c16="http://schemas.microsoft.com/office/drawing/2014/chart" uri="{C3380CC4-5D6E-409C-BE32-E72D297353CC}">
                <c16:uniqueId val="{0000000C-99F6-427F-8878-FFF881113A9E}"/>
              </c:ext>
            </c:extLst>
          </c:dPt>
          <c:cat>
            <c:strRef>
              <c:f>Chart!$D$45:$D$47</c:f>
              <c:strCache>
                <c:ptCount val="3"/>
                <c:pt idx="0">
                  <c:v>PStart</c:v>
                </c:pt>
                <c:pt idx="1">
                  <c:v>Pointer</c:v>
                </c:pt>
                <c:pt idx="2">
                  <c:v>PEnd</c:v>
                </c:pt>
              </c:strCache>
            </c:strRef>
          </c:cat>
          <c:val>
            <c:numRef>
              <c:f>Chart!$E$68:$E$70</c:f>
              <c:numCache>
                <c:formatCode>#,##0_);[Red]\(#,##0\)</c:formatCode>
                <c:ptCount val="3"/>
                <c:pt idx="0">
                  <c:v>96.922499999999999</c:v>
                </c:pt>
                <c:pt idx="1">
                  <c:v>10.154999999999999</c:v>
                </c:pt>
                <c:pt idx="2">
                  <c:v>1246.9224999999999</c:v>
                </c:pt>
              </c:numCache>
            </c:numRef>
          </c:val>
          <c:extLst>
            <c:ext xmlns:c16="http://schemas.microsoft.com/office/drawing/2014/chart" uri="{C3380CC4-5D6E-409C-BE32-E72D297353CC}">
              <c16:uniqueId val="{0000000D-99F6-427F-8878-FFF881113A9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8F8B-4853-B9DC-D2795AD4AB62}"/>
              </c:ext>
            </c:extLst>
          </c:dPt>
          <c:dPt>
            <c:idx val="1"/>
            <c:bubble3D val="0"/>
            <c:spPr>
              <a:pattFill prst="pct25">
                <a:fgClr>
                  <a:srgbClr val="002D72"/>
                </a:fgClr>
                <a:bgClr>
                  <a:sysClr val="window" lastClr="FFFFFF"/>
                </a:bgClr>
              </a:patt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8F8B-4853-B9DC-D2795AD4AB62}"/>
              </c:ext>
            </c:extLst>
          </c:dPt>
          <c:dPt>
            <c:idx val="2"/>
            <c:bubble3D val="0"/>
            <c:spPr>
              <a:solidFill>
                <a:schemeClr val="bg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8F8B-4853-B9DC-D2795AD4AB62}"/>
              </c:ext>
            </c:extLst>
          </c:dPt>
          <c:dPt>
            <c:idx val="3"/>
            <c:bubble3D val="0"/>
            <c:spPr>
              <a:noFill/>
              <a:ln w="19050">
                <a:noFill/>
              </a:ln>
              <a:effectLst/>
            </c:spPr>
            <c:extLst>
              <c:ext xmlns:c16="http://schemas.microsoft.com/office/drawing/2014/chart" uri="{C3380CC4-5D6E-409C-BE32-E72D297353CC}">
                <c16:uniqueId val="{00000007-D413-4663-966D-3B0A8BA10C75}"/>
              </c:ext>
            </c:extLst>
          </c:dPt>
          <c:cat>
            <c:strRef>
              <c:f>Chart!$D$45:$D$47</c:f>
              <c:strCache>
                <c:ptCount val="3"/>
                <c:pt idx="0">
                  <c:v>PStart</c:v>
                </c:pt>
                <c:pt idx="1">
                  <c:v>Pointer</c:v>
                </c:pt>
                <c:pt idx="2">
                  <c:v>PEnd</c:v>
                </c:pt>
              </c:strCache>
            </c:strRef>
          </c:cat>
          <c:val>
            <c:numRef>
              <c:f>Chart!$E$75:$E$78</c:f>
              <c:numCache>
                <c:formatCode>#,##0_);[Red]\(#,##0\)</c:formatCode>
                <c:ptCount val="4"/>
                <c:pt idx="0">
                  <c:v>744</c:v>
                </c:pt>
                <c:pt idx="1">
                  <c:v>138</c:v>
                </c:pt>
                <c:pt idx="2">
                  <c:v>966</c:v>
                </c:pt>
                <c:pt idx="3">
                  <c:v>1848</c:v>
                </c:pt>
              </c:numCache>
            </c:numRef>
          </c:val>
          <c:extLst>
            <c:ext xmlns:c16="http://schemas.microsoft.com/office/drawing/2014/chart" uri="{C3380CC4-5D6E-409C-BE32-E72D297353CC}">
              <c16:uniqueId val="{00000006-8F8B-4853-B9DC-D2795AD4AB62}"/>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8F8B-4853-B9DC-D2795AD4AB62}"/>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8F8B-4853-B9DC-D2795AD4AB62}"/>
              </c:ext>
            </c:extLst>
          </c:dPt>
          <c:dPt>
            <c:idx val="2"/>
            <c:bubble3D val="0"/>
            <c:spPr>
              <a:noFill/>
              <a:ln w="19050">
                <a:noFill/>
              </a:ln>
              <a:effectLst/>
            </c:spPr>
            <c:extLst>
              <c:ext xmlns:c16="http://schemas.microsoft.com/office/drawing/2014/chart" uri="{C3380CC4-5D6E-409C-BE32-E72D297353CC}">
                <c16:uniqueId val="{0000000C-8F8B-4853-B9DC-D2795AD4AB62}"/>
              </c:ext>
            </c:extLst>
          </c:dPt>
          <c:cat>
            <c:strRef>
              <c:f>Chart!$D$45:$D$47</c:f>
              <c:strCache>
                <c:ptCount val="3"/>
                <c:pt idx="0">
                  <c:v>PStart</c:v>
                </c:pt>
                <c:pt idx="1">
                  <c:v>Pointer</c:v>
                </c:pt>
                <c:pt idx="2">
                  <c:v>PEnd</c:v>
                </c:pt>
              </c:strCache>
            </c:strRef>
          </c:cat>
          <c:val>
            <c:numRef>
              <c:f>Chart!$E$79:$E$81</c:f>
              <c:numCache>
                <c:formatCode>#,##0_);[Red]\(#,##0\)</c:formatCode>
                <c:ptCount val="3"/>
                <c:pt idx="0">
                  <c:v>211.14</c:v>
                </c:pt>
                <c:pt idx="1">
                  <c:v>27.72</c:v>
                </c:pt>
                <c:pt idx="2">
                  <c:v>3457.14</c:v>
                </c:pt>
              </c:numCache>
            </c:numRef>
          </c:val>
          <c:extLst>
            <c:ext xmlns:c16="http://schemas.microsoft.com/office/drawing/2014/chart" uri="{C3380CC4-5D6E-409C-BE32-E72D297353CC}">
              <c16:uniqueId val="{0000000D-8F8B-4853-B9DC-D2795AD4AB6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lumMod val="50000"/>
              </a:schemeClr>
            </a:solidFill>
            <a:ln>
              <a:solidFill>
                <a:schemeClr val="accent5">
                  <a:lumMod val="50000"/>
                </a:schemeClr>
              </a:solidFill>
            </a:ln>
            <a:effectLst>
              <a:outerShdw blurRad="50800" dist="38100" dir="8100000" algn="tr" rotWithShape="0">
                <a:prstClr val="black">
                  <a:alpha val="40000"/>
                </a:prstClr>
              </a:outerShdw>
            </a:effectLst>
          </c:spPr>
          <c:dPt>
            <c:idx val="0"/>
            <c:bubble3D val="0"/>
            <c:spPr>
              <a:solidFill>
                <a:schemeClr val="accent5">
                  <a:lumMod val="50000"/>
                </a:schemeClr>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7C1-41EA-A85C-C21B3CBF501C}"/>
              </c:ext>
            </c:extLst>
          </c:dPt>
          <c:dPt>
            <c:idx val="1"/>
            <c:bubble3D val="0"/>
            <c:spPr>
              <a:pattFill prst="pct25">
                <a:fgClr>
                  <a:srgbClr val="F1C400">
                    <a:lumMod val="50000"/>
                  </a:srgbClr>
                </a:fgClr>
                <a:bgClr>
                  <a:sysClr val="window" lastClr="FFFFFF"/>
                </a:bgClr>
              </a:patt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E7C1-41EA-A85C-C21B3CBF501C}"/>
              </c:ext>
            </c:extLst>
          </c:dPt>
          <c:dPt>
            <c:idx val="2"/>
            <c:bubble3D val="0"/>
            <c:spPr>
              <a:solidFill>
                <a:schemeClr val="bg1"/>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E7C1-41EA-A85C-C21B3CBF501C}"/>
              </c:ext>
            </c:extLst>
          </c:dPt>
          <c:dPt>
            <c:idx val="3"/>
            <c:bubble3D val="0"/>
            <c:spPr>
              <a:noFill/>
              <a:ln w="19050">
                <a:noFill/>
              </a:ln>
              <a:effectLst/>
            </c:spPr>
            <c:extLst>
              <c:ext xmlns:c16="http://schemas.microsoft.com/office/drawing/2014/chart" uri="{C3380CC4-5D6E-409C-BE32-E72D297353CC}">
                <c16:uniqueId val="{00000007-BFA0-4A74-8BE6-517E16BB1234}"/>
              </c:ext>
            </c:extLst>
          </c:dPt>
          <c:cat>
            <c:strRef>
              <c:f>Chart!$D$45:$D$47</c:f>
              <c:strCache>
                <c:ptCount val="3"/>
                <c:pt idx="0">
                  <c:v>PStart</c:v>
                </c:pt>
                <c:pt idx="1">
                  <c:v>Pointer</c:v>
                </c:pt>
                <c:pt idx="2">
                  <c:v>PEnd</c:v>
                </c:pt>
              </c:strCache>
            </c:strRef>
          </c:cat>
          <c:val>
            <c:numRef>
              <c:f>Chart!$F$64:$F$67</c:f>
              <c:numCache>
                <c:formatCode>#,##0_);[Red]\(#,##0\)</c:formatCode>
                <c:ptCount val="4"/>
                <c:pt idx="0">
                  <c:v>302</c:v>
                </c:pt>
                <c:pt idx="1">
                  <c:v>127</c:v>
                </c:pt>
                <c:pt idx="2">
                  <c:v>248</c:v>
                </c:pt>
                <c:pt idx="3">
                  <c:v>677</c:v>
                </c:pt>
              </c:numCache>
            </c:numRef>
          </c:val>
          <c:extLst>
            <c:ext xmlns:c16="http://schemas.microsoft.com/office/drawing/2014/chart" uri="{C3380CC4-5D6E-409C-BE32-E72D297353CC}">
              <c16:uniqueId val="{00000006-E7C1-41EA-A85C-C21B3CBF501C}"/>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E7C1-41EA-A85C-C21B3CBF501C}"/>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E7C1-41EA-A85C-C21B3CBF501C}"/>
              </c:ext>
            </c:extLst>
          </c:dPt>
          <c:dPt>
            <c:idx val="2"/>
            <c:bubble3D val="0"/>
            <c:spPr>
              <a:noFill/>
              <a:ln w="19050">
                <a:noFill/>
              </a:ln>
              <a:effectLst/>
            </c:spPr>
            <c:extLst>
              <c:ext xmlns:c16="http://schemas.microsoft.com/office/drawing/2014/chart" uri="{C3380CC4-5D6E-409C-BE32-E72D297353CC}">
                <c16:uniqueId val="{0000000C-E7C1-41EA-A85C-C21B3CBF501C}"/>
              </c:ext>
            </c:extLst>
          </c:dPt>
          <c:cat>
            <c:strRef>
              <c:f>Chart!$D$45:$D$47</c:f>
              <c:strCache>
                <c:ptCount val="3"/>
                <c:pt idx="0">
                  <c:v>PStart</c:v>
                </c:pt>
                <c:pt idx="1">
                  <c:v>Pointer</c:v>
                </c:pt>
                <c:pt idx="2">
                  <c:v>PEnd</c:v>
                </c:pt>
              </c:strCache>
            </c:strRef>
          </c:cat>
          <c:val>
            <c:numRef>
              <c:f>Chart!$F$68:$F$70</c:f>
              <c:numCache>
                <c:formatCode>#,##0_);[Red]\(#,##0\)</c:formatCode>
                <c:ptCount val="3"/>
                <c:pt idx="0">
                  <c:v>130.92250000000001</c:v>
                </c:pt>
                <c:pt idx="1">
                  <c:v>10.154999999999999</c:v>
                </c:pt>
                <c:pt idx="2">
                  <c:v>1212.9224999999999</c:v>
                </c:pt>
              </c:numCache>
            </c:numRef>
          </c:val>
          <c:extLst>
            <c:ext xmlns:c16="http://schemas.microsoft.com/office/drawing/2014/chart" uri="{C3380CC4-5D6E-409C-BE32-E72D297353CC}">
              <c16:uniqueId val="{0000000D-E7C1-41EA-A85C-C21B3CBF501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solidFill>
            <a:ln>
              <a:solidFill>
                <a:schemeClr val="accent5"/>
              </a:solidFill>
            </a:ln>
            <a:effectLst>
              <a:outerShdw blurRad="50800" dist="38100" dir="8100000" algn="tr" rotWithShape="0">
                <a:prstClr val="black">
                  <a:alpha val="40000"/>
                </a:prstClr>
              </a:outerShdw>
            </a:effectLst>
          </c:spPr>
          <c:dPt>
            <c:idx val="0"/>
            <c:bubble3D val="0"/>
            <c:spPr>
              <a:solidFill>
                <a:schemeClr val="accent5"/>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F16-4B89-9ED8-A7138BC9168E}"/>
              </c:ext>
            </c:extLst>
          </c:dPt>
          <c:dPt>
            <c:idx val="1"/>
            <c:bubble3D val="0"/>
            <c:spPr>
              <a:pattFill prst="pct25">
                <a:fgClr>
                  <a:srgbClr val="F1C400"/>
                </a:fgClr>
                <a:bgClr>
                  <a:sysClr val="window" lastClr="FFFFFF"/>
                </a:bgClr>
              </a:patt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F16-4B89-9ED8-A7138BC9168E}"/>
              </c:ext>
            </c:extLst>
          </c:dPt>
          <c:dPt>
            <c:idx val="2"/>
            <c:bubble3D val="0"/>
            <c:spPr>
              <a:solidFill>
                <a:schemeClr val="bg1"/>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2F16-4B89-9ED8-A7138BC9168E}"/>
              </c:ext>
            </c:extLst>
          </c:dPt>
          <c:dPt>
            <c:idx val="3"/>
            <c:bubble3D val="0"/>
            <c:spPr>
              <a:noFill/>
              <a:ln w="19050">
                <a:noFill/>
              </a:ln>
              <a:effectLst/>
            </c:spPr>
            <c:extLst>
              <c:ext xmlns:c16="http://schemas.microsoft.com/office/drawing/2014/chart" uri="{C3380CC4-5D6E-409C-BE32-E72D297353CC}">
                <c16:uniqueId val="{00000007-4A7B-4C53-9FD5-1B1497D20BA6}"/>
              </c:ext>
            </c:extLst>
          </c:dPt>
          <c:cat>
            <c:strRef>
              <c:f>Chart!$D$45:$D$47</c:f>
              <c:strCache>
                <c:ptCount val="3"/>
                <c:pt idx="0">
                  <c:v>PStart</c:v>
                </c:pt>
                <c:pt idx="1">
                  <c:v>Pointer</c:v>
                </c:pt>
                <c:pt idx="2">
                  <c:v>PEnd</c:v>
                </c:pt>
              </c:strCache>
            </c:strRef>
          </c:cat>
          <c:val>
            <c:numRef>
              <c:f>Chart!$F$75:$F$78</c:f>
              <c:numCache>
                <c:formatCode>#,##0_);[Red]\(#,##0\)</c:formatCode>
                <c:ptCount val="4"/>
                <c:pt idx="0">
                  <c:v>744</c:v>
                </c:pt>
                <c:pt idx="1">
                  <c:v>138</c:v>
                </c:pt>
                <c:pt idx="2">
                  <c:v>966</c:v>
                </c:pt>
                <c:pt idx="3">
                  <c:v>1848</c:v>
                </c:pt>
              </c:numCache>
            </c:numRef>
          </c:val>
          <c:extLst>
            <c:ext xmlns:c16="http://schemas.microsoft.com/office/drawing/2014/chart" uri="{C3380CC4-5D6E-409C-BE32-E72D297353CC}">
              <c16:uniqueId val="{00000006-2F16-4B89-9ED8-A7138BC9168E}"/>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2F16-4B89-9ED8-A7138BC9168E}"/>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F16-4B89-9ED8-A7138BC9168E}"/>
              </c:ext>
            </c:extLst>
          </c:dPt>
          <c:dPt>
            <c:idx val="2"/>
            <c:bubble3D val="0"/>
            <c:spPr>
              <a:noFill/>
              <a:ln w="19050">
                <a:noFill/>
              </a:ln>
              <a:effectLst/>
            </c:spPr>
            <c:extLst>
              <c:ext xmlns:c16="http://schemas.microsoft.com/office/drawing/2014/chart" uri="{C3380CC4-5D6E-409C-BE32-E72D297353CC}">
                <c16:uniqueId val="{0000000C-2F16-4B89-9ED8-A7138BC9168E}"/>
              </c:ext>
            </c:extLst>
          </c:dPt>
          <c:cat>
            <c:strRef>
              <c:f>Chart!$D$45:$D$47</c:f>
              <c:strCache>
                <c:ptCount val="3"/>
                <c:pt idx="0">
                  <c:v>PStart</c:v>
                </c:pt>
                <c:pt idx="1">
                  <c:v>Pointer</c:v>
                </c:pt>
                <c:pt idx="2">
                  <c:v>PEnd</c:v>
                </c:pt>
              </c:strCache>
            </c:strRef>
          </c:cat>
          <c:val>
            <c:numRef>
              <c:f>Chart!$F$79:$F$81</c:f>
              <c:numCache>
                <c:formatCode>#,##0_);[Red]\(#,##0\)</c:formatCode>
                <c:ptCount val="3"/>
                <c:pt idx="0">
                  <c:v>336.14</c:v>
                </c:pt>
                <c:pt idx="1">
                  <c:v>27.72</c:v>
                </c:pt>
                <c:pt idx="2">
                  <c:v>3332.14</c:v>
                </c:pt>
              </c:numCache>
            </c:numRef>
          </c:val>
          <c:extLst>
            <c:ext xmlns:c16="http://schemas.microsoft.com/office/drawing/2014/chart" uri="{C3380CC4-5D6E-409C-BE32-E72D297353CC}">
              <c16:uniqueId val="{0000000D-2F16-4B89-9ED8-A7138BC9168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lumMod val="75000"/>
              </a:schemeClr>
            </a:solidFill>
            <a:ln>
              <a:solidFill>
                <a:schemeClr val="accent6">
                  <a:lumMod val="75000"/>
                </a:schemeClr>
              </a:solidFill>
            </a:ln>
            <a:effectLst>
              <a:outerShdw blurRad="50800" dist="38100" dir="8100000" algn="tr" rotWithShape="0">
                <a:prstClr val="black">
                  <a:alpha val="40000"/>
                </a:prstClr>
              </a:outerShdw>
            </a:effectLst>
          </c:spPr>
          <c:dPt>
            <c:idx val="0"/>
            <c:bubble3D val="0"/>
            <c:spPr>
              <a:solidFill>
                <a:schemeClr val="accent6">
                  <a:lumMod val="75000"/>
                </a:schemeClr>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869-49EB-8C1F-9C99189592E8}"/>
              </c:ext>
            </c:extLst>
          </c:dPt>
          <c:dPt>
            <c:idx val="1"/>
            <c:bubble3D val="0"/>
            <c:spPr>
              <a:pattFill prst="pct25">
                <a:fgClr>
                  <a:srgbClr val="76232F">
                    <a:lumMod val="75000"/>
                  </a:srgbClr>
                </a:fgClr>
                <a:bgClr>
                  <a:sysClr val="window" lastClr="FFFFFF"/>
                </a:bgClr>
              </a:patt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869-49EB-8C1F-9C99189592E8}"/>
              </c:ext>
            </c:extLst>
          </c:dPt>
          <c:dPt>
            <c:idx val="2"/>
            <c:bubble3D val="0"/>
            <c:spPr>
              <a:solidFill>
                <a:schemeClr val="bg1"/>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C869-49EB-8C1F-9C99189592E8}"/>
              </c:ext>
            </c:extLst>
          </c:dPt>
          <c:dPt>
            <c:idx val="3"/>
            <c:bubble3D val="0"/>
            <c:spPr>
              <a:noFill/>
              <a:ln w="19050">
                <a:noFill/>
              </a:ln>
              <a:effectLst/>
            </c:spPr>
            <c:extLst>
              <c:ext xmlns:c16="http://schemas.microsoft.com/office/drawing/2014/chart" uri="{C3380CC4-5D6E-409C-BE32-E72D297353CC}">
                <c16:uniqueId val="{00000007-C474-42F1-BDAB-99E89030FF49}"/>
              </c:ext>
            </c:extLst>
          </c:dPt>
          <c:cat>
            <c:strRef>
              <c:f>Chart!$D$45:$D$47</c:f>
              <c:strCache>
                <c:ptCount val="3"/>
                <c:pt idx="0">
                  <c:v>PStart</c:v>
                </c:pt>
                <c:pt idx="1">
                  <c:v>Pointer</c:v>
                </c:pt>
                <c:pt idx="2">
                  <c:v>PEnd</c:v>
                </c:pt>
              </c:strCache>
            </c:strRef>
          </c:cat>
          <c:val>
            <c:numRef>
              <c:f>Chart!$G$64:$G$67</c:f>
              <c:numCache>
                <c:formatCode>#,##0_);[Red]\(#,##0\)</c:formatCode>
                <c:ptCount val="4"/>
                <c:pt idx="0">
                  <c:v>302</c:v>
                </c:pt>
                <c:pt idx="1">
                  <c:v>127</c:v>
                </c:pt>
                <c:pt idx="2">
                  <c:v>248</c:v>
                </c:pt>
                <c:pt idx="3">
                  <c:v>677</c:v>
                </c:pt>
              </c:numCache>
            </c:numRef>
          </c:val>
          <c:extLst>
            <c:ext xmlns:c16="http://schemas.microsoft.com/office/drawing/2014/chart" uri="{C3380CC4-5D6E-409C-BE32-E72D297353CC}">
              <c16:uniqueId val="{00000006-C869-49EB-8C1F-9C99189592E8}"/>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C869-49EB-8C1F-9C99189592E8}"/>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C869-49EB-8C1F-9C99189592E8}"/>
              </c:ext>
            </c:extLst>
          </c:dPt>
          <c:dPt>
            <c:idx val="2"/>
            <c:bubble3D val="0"/>
            <c:spPr>
              <a:noFill/>
              <a:ln w="19050">
                <a:noFill/>
              </a:ln>
              <a:effectLst/>
            </c:spPr>
            <c:extLst>
              <c:ext xmlns:c16="http://schemas.microsoft.com/office/drawing/2014/chart" uri="{C3380CC4-5D6E-409C-BE32-E72D297353CC}">
                <c16:uniqueId val="{0000000C-C869-49EB-8C1F-9C99189592E8}"/>
              </c:ext>
            </c:extLst>
          </c:dPt>
          <c:cat>
            <c:strRef>
              <c:f>Chart!$D$45:$D$47</c:f>
              <c:strCache>
                <c:ptCount val="3"/>
                <c:pt idx="0">
                  <c:v>PStart</c:v>
                </c:pt>
                <c:pt idx="1">
                  <c:v>Pointer</c:v>
                </c:pt>
                <c:pt idx="2">
                  <c:v>PEnd</c:v>
                </c:pt>
              </c:strCache>
            </c:strRef>
          </c:cat>
          <c:val>
            <c:numRef>
              <c:f>Chart!$G$68:$G$70</c:f>
              <c:numCache>
                <c:formatCode>#,##0_);[Red]\(#,##0\)</c:formatCode>
                <c:ptCount val="3"/>
                <c:pt idx="0">
                  <c:v>236.92250000000001</c:v>
                </c:pt>
                <c:pt idx="1">
                  <c:v>10.154999999999999</c:v>
                </c:pt>
                <c:pt idx="2">
                  <c:v>1106.9224999999999</c:v>
                </c:pt>
              </c:numCache>
            </c:numRef>
          </c:val>
          <c:extLst>
            <c:ext xmlns:c16="http://schemas.microsoft.com/office/drawing/2014/chart" uri="{C3380CC4-5D6E-409C-BE32-E72D297353CC}">
              <c16:uniqueId val="{0000000D-C869-49EB-8C1F-9C99189592E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solidFill>
                <a:schemeClr val="accent6"/>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7DD-4BB9-92B9-51C29E84CB56}"/>
              </c:ext>
            </c:extLst>
          </c:dPt>
          <c:dPt>
            <c:idx val="1"/>
            <c:bubble3D val="0"/>
            <c:spPr>
              <a:pattFill prst="pct25">
                <a:fgClr>
                  <a:srgbClr val="76232F"/>
                </a:fgClr>
                <a:bgClr>
                  <a:sysClr val="window" lastClr="FFFFFF"/>
                </a:bgClr>
              </a:patt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7DD-4BB9-92B9-51C29E84CB56}"/>
              </c:ext>
            </c:extLst>
          </c:dPt>
          <c:dPt>
            <c:idx val="2"/>
            <c:bubble3D val="0"/>
            <c:spPr>
              <a:solidFill>
                <a:schemeClr val="bg1"/>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A7DD-4BB9-92B9-51C29E84CB56}"/>
              </c:ext>
            </c:extLst>
          </c:dPt>
          <c:dPt>
            <c:idx val="3"/>
            <c:bubble3D val="0"/>
            <c:spPr>
              <a:noFill/>
              <a:ln w="19050">
                <a:noFill/>
              </a:ln>
              <a:effectLst/>
            </c:spPr>
            <c:extLst>
              <c:ext xmlns:c16="http://schemas.microsoft.com/office/drawing/2014/chart" uri="{C3380CC4-5D6E-409C-BE32-E72D297353CC}">
                <c16:uniqueId val="{00000007-BAC3-4232-8C3F-AC74ACCC590B}"/>
              </c:ext>
            </c:extLst>
          </c:dPt>
          <c:cat>
            <c:strRef>
              <c:f>Chart!$D$45:$D$47</c:f>
              <c:strCache>
                <c:ptCount val="3"/>
                <c:pt idx="0">
                  <c:v>PStart</c:v>
                </c:pt>
                <c:pt idx="1">
                  <c:v>Pointer</c:v>
                </c:pt>
                <c:pt idx="2">
                  <c:v>PEnd</c:v>
                </c:pt>
              </c:strCache>
            </c:strRef>
          </c:cat>
          <c:val>
            <c:numRef>
              <c:f>Chart!$G$75:$G$78</c:f>
              <c:numCache>
                <c:formatCode>#,##0_);[Red]\(#,##0\)</c:formatCode>
                <c:ptCount val="4"/>
                <c:pt idx="0">
                  <c:v>744</c:v>
                </c:pt>
                <c:pt idx="1">
                  <c:v>138</c:v>
                </c:pt>
                <c:pt idx="2">
                  <c:v>966</c:v>
                </c:pt>
                <c:pt idx="3">
                  <c:v>1848</c:v>
                </c:pt>
              </c:numCache>
            </c:numRef>
          </c:val>
          <c:extLst>
            <c:ext xmlns:c16="http://schemas.microsoft.com/office/drawing/2014/chart" uri="{C3380CC4-5D6E-409C-BE32-E72D297353CC}">
              <c16:uniqueId val="{00000006-A7DD-4BB9-92B9-51C29E84CB56}"/>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A7DD-4BB9-92B9-51C29E84CB56}"/>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A7DD-4BB9-92B9-51C29E84CB56}"/>
              </c:ext>
            </c:extLst>
          </c:dPt>
          <c:dPt>
            <c:idx val="2"/>
            <c:bubble3D val="0"/>
            <c:spPr>
              <a:noFill/>
              <a:ln w="19050">
                <a:noFill/>
              </a:ln>
              <a:effectLst/>
            </c:spPr>
            <c:extLst>
              <c:ext xmlns:c16="http://schemas.microsoft.com/office/drawing/2014/chart" uri="{C3380CC4-5D6E-409C-BE32-E72D297353CC}">
                <c16:uniqueId val="{0000000C-A7DD-4BB9-92B9-51C29E84CB56}"/>
              </c:ext>
            </c:extLst>
          </c:dPt>
          <c:cat>
            <c:strRef>
              <c:f>Chart!$D$45:$D$47</c:f>
              <c:strCache>
                <c:ptCount val="3"/>
                <c:pt idx="0">
                  <c:v>PStart</c:v>
                </c:pt>
                <c:pt idx="1">
                  <c:v>Pointer</c:v>
                </c:pt>
                <c:pt idx="2">
                  <c:v>PEnd</c:v>
                </c:pt>
              </c:strCache>
            </c:strRef>
          </c:cat>
          <c:val>
            <c:numRef>
              <c:f>Chart!$G$79:$G$81</c:f>
              <c:numCache>
                <c:formatCode>#,##0_);[Red]\(#,##0\)</c:formatCode>
                <c:ptCount val="3"/>
                <c:pt idx="0">
                  <c:v>460.14</c:v>
                </c:pt>
                <c:pt idx="1">
                  <c:v>27.72</c:v>
                </c:pt>
                <c:pt idx="2">
                  <c:v>3208.14</c:v>
                </c:pt>
              </c:numCache>
            </c:numRef>
          </c:val>
          <c:extLst>
            <c:ext xmlns:c16="http://schemas.microsoft.com/office/drawing/2014/chart" uri="{C3380CC4-5D6E-409C-BE32-E72D297353CC}">
              <c16:uniqueId val="{0000000D-A7DD-4BB9-92B9-51C29E84CB5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lumMod val="50000"/>
              </a:schemeClr>
            </a:solidFill>
            <a:ln>
              <a:solidFill>
                <a:schemeClr val="accent4">
                  <a:lumMod val="50000"/>
                </a:schemeClr>
              </a:solidFill>
            </a:ln>
            <a:effectLst>
              <a:outerShdw blurRad="50800" dist="38100" dir="8100000" algn="tr" rotWithShape="0">
                <a:prstClr val="black">
                  <a:alpha val="40000"/>
                </a:prstClr>
              </a:outerShdw>
            </a:effectLst>
          </c:spPr>
          <c:dPt>
            <c:idx val="0"/>
            <c:bubble3D val="0"/>
            <c:spPr>
              <a:solidFill>
                <a:schemeClr val="accent4">
                  <a:lumMod val="50000"/>
                </a:schemeClr>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C8D-4FCA-8476-E5AFCFC1EA30}"/>
              </c:ext>
            </c:extLst>
          </c:dPt>
          <c:dPt>
            <c:idx val="1"/>
            <c:bubble3D val="0"/>
            <c:spPr>
              <a:pattFill prst="pct25">
                <a:fgClr>
                  <a:srgbClr val="009B77">
                    <a:lumMod val="50000"/>
                  </a:srgbClr>
                </a:fgClr>
                <a:bgClr>
                  <a:sysClr val="window" lastClr="FFFFFF"/>
                </a:bgClr>
              </a:patt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C8D-4FCA-8476-E5AFCFC1EA30}"/>
              </c:ext>
            </c:extLst>
          </c:dPt>
          <c:dPt>
            <c:idx val="2"/>
            <c:bubble3D val="0"/>
            <c:spPr>
              <a:solidFill>
                <a:schemeClr val="bg1"/>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DC8D-4FCA-8476-E5AFCFC1EA30}"/>
              </c:ext>
            </c:extLst>
          </c:dPt>
          <c:dPt>
            <c:idx val="3"/>
            <c:bubble3D val="0"/>
            <c:spPr>
              <a:noFill/>
              <a:ln w="19050">
                <a:noFill/>
              </a:ln>
              <a:effectLst/>
            </c:spPr>
            <c:extLst>
              <c:ext xmlns:c16="http://schemas.microsoft.com/office/drawing/2014/chart" uri="{C3380CC4-5D6E-409C-BE32-E72D297353CC}">
                <c16:uniqueId val="{00000007-52EF-48DD-9F3A-1ADFB63192DE}"/>
              </c:ext>
            </c:extLst>
          </c:dPt>
          <c:cat>
            <c:strRef>
              <c:f>Chart!$D$45:$D$47</c:f>
              <c:strCache>
                <c:ptCount val="3"/>
                <c:pt idx="0">
                  <c:v>PStart</c:v>
                </c:pt>
                <c:pt idx="1">
                  <c:v>Pointer</c:v>
                </c:pt>
                <c:pt idx="2">
                  <c:v>PEnd</c:v>
                </c:pt>
              </c:strCache>
            </c:strRef>
          </c:cat>
          <c:val>
            <c:numRef>
              <c:f>Chart!$H$64:$H$67</c:f>
              <c:numCache>
                <c:formatCode>#,##0_);[Red]\(#,##0\)</c:formatCode>
                <c:ptCount val="4"/>
                <c:pt idx="0">
                  <c:v>302</c:v>
                </c:pt>
                <c:pt idx="1">
                  <c:v>127</c:v>
                </c:pt>
                <c:pt idx="2">
                  <c:v>248</c:v>
                </c:pt>
                <c:pt idx="3">
                  <c:v>677</c:v>
                </c:pt>
              </c:numCache>
            </c:numRef>
          </c:val>
          <c:extLst>
            <c:ext xmlns:c16="http://schemas.microsoft.com/office/drawing/2014/chart" uri="{C3380CC4-5D6E-409C-BE32-E72D297353CC}">
              <c16:uniqueId val="{00000006-DC8D-4FCA-8476-E5AFCFC1EA30}"/>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DC8D-4FCA-8476-E5AFCFC1EA30}"/>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DC8D-4FCA-8476-E5AFCFC1EA30}"/>
              </c:ext>
            </c:extLst>
          </c:dPt>
          <c:dPt>
            <c:idx val="2"/>
            <c:bubble3D val="0"/>
            <c:spPr>
              <a:noFill/>
              <a:ln w="19050">
                <a:noFill/>
              </a:ln>
              <a:effectLst/>
            </c:spPr>
            <c:extLst>
              <c:ext xmlns:c16="http://schemas.microsoft.com/office/drawing/2014/chart" uri="{C3380CC4-5D6E-409C-BE32-E72D297353CC}">
                <c16:uniqueId val="{0000000C-DC8D-4FCA-8476-E5AFCFC1EA30}"/>
              </c:ext>
            </c:extLst>
          </c:dPt>
          <c:cat>
            <c:strRef>
              <c:f>Chart!$D$45:$D$47</c:f>
              <c:strCache>
                <c:ptCount val="3"/>
                <c:pt idx="0">
                  <c:v>PStart</c:v>
                </c:pt>
                <c:pt idx="1">
                  <c:v>Pointer</c:v>
                </c:pt>
                <c:pt idx="2">
                  <c:v>PEnd</c:v>
                </c:pt>
              </c:strCache>
            </c:strRef>
          </c:cat>
          <c:val>
            <c:numRef>
              <c:f>Chart!$H$68:$H$70</c:f>
              <c:numCache>
                <c:formatCode>#,##0_);[Red]\(#,##0\)</c:formatCode>
                <c:ptCount val="3"/>
                <c:pt idx="0">
                  <c:v>377.92250000000001</c:v>
                </c:pt>
                <c:pt idx="1">
                  <c:v>10.154999999999999</c:v>
                </c:pt>
                <c:pt idx="2">
                  <c:v>965.92250000000001</c:v>
                </c:pt>
              </c:numCache>
            </c:numRef>
          </c:val>
          <c:extLst>
            <c:ext xmlns:c16="http://schemas.microsoft.com/office/drawing/2014/chart" uri="{C3380CC4-5D6E-409C-BE32-E72D297353CC}">
              <c16:uniqueId val="{0000000D-DC8D-4FCA-8476-E5AFCFC1EA3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solidFill>
            <a:ln>
              <a:solidFill>
                <a:schemeClr val="accent4"/>
              </a:solidFill>
            </a:ln>
            <a:effectLst>
              <a:outerShdw blurRad="50800" dist="38100" dir="8100000" algn="tr" rotWithShape="0">
                <a:prstClr val="black">
                  <a:alpha val="40000"/>
                </a:prstClr>
              </a:outerShdw>
            </a:effectLst>
          </c:spPr>
          <c:dPt>
            <c:idx val="0"/>
            <c:bubble3D val="0"/>
            <c:spPr>
              <a:solidFill>
                <a:schemeClr val="accent4"/>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902-4C5C-B28E-3104862DE5A3}"/>
              </c:ext>
            </c:extLst>
          </c:dPt>
          <c:dPt>
            <c:idx val="1"/>
            <c:bubble3D val="0"/>
            <c:spPr>
              <a:pattFill prst="pct25">
                <a:fgClr>
                  <a:srgbClr val="009B77"/>
                </a:fgClr>
                <a:bgClr>
                  <a:sysClr val="window" lastClr="FFFFFF"/>
                </a:bgClr>
              </a:patt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902-4C5C-B28E-3104862DE5A3}"/>
              </c:ext>
            </c:extLst>
          </c:dPt>
          <c:dPt>
            <c:idx val="2"/>
            <c:bubble3D val="0"/>
            <c:spPr>
              <a:solidFill>
                <a:schemeClr val="bg1"/>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7902-4C5C-B28E-3104862DE5A3}"/>
              </c:ext>
            </c:extLst>
          </c:dPt>
          <c:dPt>
            <c:idx val="3"/>
            <c:bubble3D val="0"/>
            <c:spPr>
              <a:noFill/>
              <a:ln w="19050">
                <a:noFill/>
              </a:ln>
              <a:effectLst/>
            </c:spPr>
            <c:extLst>
              <c:ext xmlns:c16="http://schemas.microsoft.com/office/drawing/2014/chart" uri="{C3380CC4-5D6E-409C-BE32-E72D297353CC}">
                <c16:uniqueId val="{00000007-B6BC-42DF-96E7-1BD0E97DDDA5}"/>
              </c:ext>
            </c:extLst>
          </c:dPt>
          <c:cat>
            <c:strRef>
              <c:f>Chart!$D$45:$D$47</c:f>
              <c:strCache>
                <c:ptCount val="3"/>
                <c:pt idx="0">
                  <c:v>PStart</c:v>
                </c:pt>
                <c:pt idx="1">
                  <c:v>Pointer</c:v>
                </c:pt>
                <c:pt idx="2">
                  <c:v>PEnd</c:v>
                </c:pt>
              </c:strCache>
            </c:strRef>
          </c:cat>
          <c:val>
            <c:numRef>
              <c:f>Chart!$H$75:$H$78</c:f>
              <c:numCache>
                <c:formatCode>#,##0_);[Red]\(#,##0\)</c:formatCode>
                <c:ptCount val="4"/>
                <c:pt idx="0">
                  <c:v>744</c:v>
                </c:pt>
                <c:pt idx="1">
                  <c:v>138</c:v>
                </c:pt>
                <c:pt idx="2">
                  <c:v>966</c:v>
                </c:pt>
                <c:pt idx="3">
                  <c:v>1848</c:v>
                </c:pt>
              </c:numCache>
            </c:numRef>
          </c:val>
          <c:extLst>
            <c:ext xmlns:c16="http://schemas.microsoft.com/office/drawing/2014/chart" uri="{C3380CC4-5D6E-409C-BE32-E72D297353CC}">
              <c16:uniqueId val="{00000006-7902-4C5C-B28E-3104862DE5A3}"/>
            </c:ext>
          </c:extLst>
        </c:ser>
        <c:dLbls>
          <c:showLegendKey val="0"/>
          <c:showVal val="0"/>
          <c:showCatName val="0"/>
          <c:showSerName val="0"/>
          <c:showPercent val="0"/>
          <c:showBubbleSize val="0"/>
          <c:showLeaderLines val="1"/>
        </c:dLbls>
        <c:firstSliceAng val="270"/>
        <c:holeSize val="85"/>
      </c:doughnutChart>
      <c:pieChart>
        <c:varyColors val="1"/>
        <c:ser>
          <c:idx val="1"/>
          <c:order val="1"/>
          <c:dPt>
            <c:idx val="0"/>
            <c:bubble3D val="0"/>
            <c:spPr>
              <a:noFill/>
              <a:ln w="19050">
                <a:noFill/>
              </a:ln>
              <a:effectLst/>
            </c:spPr>
            <c:extLst>
              <c:ext xmlns:c16="http://schemas.microsoft.com/office/drawing/2014/chart" uri="{C3380CC4-5D6E-409C-BE32-E72D297353CC}">
                <c16:uniqueId val="{00000008-7902-4C5C-B28E-3104862DE5A3}"/>
              </c:ext>
            </c:extLst>
          </c:dPt>
          <c:dPt>
            <c:idx val="1"/>
            <c:bubble3D val="0"/>
            <c:spPr>
              <a:solidFill>
                <a:srgbClr val="FF0000"/>
              </a:solidFill>
              <a:ln w="19050">
                <a:noFill/>
              </a:ln>
              <a:effectLst/>
            </c:spPr>
            <c:extLst>
              <c:ext xmlns:c16="http://schemas.microsoft.com/office/drawing/2014/chart" uri="{C3380CC4-5D6E-409C-BE32-E72D297353CC}">
                <c16:uniqueId val="{0000000A-7902-4C5C-B28E-3104862DE5A3}"/>
              </c:ext>
            </c:extLst>
          </c:dPt>
          <c:dPt>
            <c:idx val="2"/>
            <c:bubble3D val="0"/>
            <c:spPr>
              <a:noFill/>
              <a:ln w="19050">
                <a:noFill/>
              </a:ln>
              <a:effectLst/>
            </c:spPr>
            <c:extLst>
              <c:ext xmlns:c16="http://schemas.microsoft.com/office/drawing/2014/chart" uri="{C3380CC4-5D6E-409C-BE32-E72D297353CC}">
                <c16:uniqueId val="{0000000C-7902-4C5C-B28E-3104862DE5A3}"/>
              </c:ext>
            </c:extLst>
          </c:dPt>
          <c:cat>
            <c:strRef>
              <c:f>Chart!$D$45:$D$47</c:f>
              <c:strCache>
                <c:ptCount val="3"/>
                <c:pt idx="0">
                  <c:v>PStart</c:v>
                </c:pt>
                <c:pt idx="1">
                  <c:v>Pointer</c:v>
                </c:pt>
                <c:pt idx="2">
                  <c:v>PEnd</c:v>
                </c:pt>
              </c:strCache>
            </c:strRef>
          </c:cat>
          <c:val>
            <c:numRef>
              <c:f>Chart!$H$79:$H$81</c:f>
              <c:numCache>
                <c:formatCode>#,##0_);[Red]\(#,##0\)</c:formatCode>
                <c:ptCount val="3"/>
                <c:pt idx="0">
                  <c:v>747.14</c:v>
                </c:pt>
                <c:pt idx="1">
                  <c:v>27.72</c:v>
                </c:pt>
                <c:pt idx="2">
                  <c:v>2921.14</c:v>
                </c:pt>
              </c:numCache>
            </c:numRef>
          </c:val>
          <c:extLst>
            <c:ext xmlns:c16="http://schemas.microsoft.com/office/drawing/2014/chart" uri="{C3380CC4-5D6E-409C-BE32-E72D297353CC}">
              <c16:uniqueId val="{0000000D-7902-4C5C-B28E-3104862DE5A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lumMod val="50000"/>
              </a:schemeClr>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lumMod val="50000"/>
                </a:schemeClr>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D70-4637-B812-B1CC878378B3}"/>
              </c:ext>
            </c:extLst>
          </c:dPt>
          <c:dPt>
            <c:idx val="1"/>
            <c:bubble3D val="0"/>
            <c:spPr>
              <a:pattFill prst="pct25">
                <a:fgClr>
                  <a:schemeClr val="accent1">
                    <a:lumMod val="50000"/>
                  </a:schemeClr>
                </a:fgClr>
                <a:bgClr>
                  <a:schemeClr val="bg1"/>
                </a:bgClr>
              </a:pattFill>
              <a:ln w="19050">
                <a:solidFill>
                  <a:schemeClr val="accent1">
                    <a:lumMod val="5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D70-4637-B812-B1CC878378B3}"/>
              </c:ext>
            </c:extLst>
          </c:dPt>
          <c:dPt>
            <c:idx val="2"/>
            <c:bubble3D val="0"/>
            <c:spPr>
              <a:solidFill>
                <a:schemeClr val="bg1"/>
              </a:solidFill>
              <a:ln w="19050">
                <a:solidFill>
                  <a:schemeClr val="accent1">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CD70-4637-B812-B1CC878378B3}"/>
              </c:ext>
            </c:extLst>
          </c:dPt>
          <c:dPt>
            <c:idx val="3"/>
            <c:bubble3D val="0"/>
            <c:spPr>
              <a:noFill/>
              <a:ln w="19050">
                <a:noFill/>
              </a:ln>
              <a:effectLst/>
            </c:spPr>
            <c:extLst>
              <c:ext xmlns:c16="http://schemas.microsoft.com/office/drawing/2014/chart" uri="{C3380CC4-5D6E-409C-BE32-E72D297353CC}">
                <c16:uniqueId val="{00000007-8269-4329-BF66-9A08FA0700D4}"/>
              </c:ext>
            </c:extLst>
          </c:dPt>
          <c:cat>
            <c:strRef>
              <c:f>Chart!$D$45:$D$47</c:f>
              <c:strCache>
                <c:ptCount val="3"/>
                <c:pt idx="0">
                  <c:v>PStart</c:v>
                </c:pt>
                <c:pt idx="1">
                  <c:v>Pointer</c:v>
                </c:pt>
                <c:pt idx="2">
                  <c:v>PEnd</c:v>
                </c:pt>
              </c:strCache>
            </c:strRef>
          </c:cat>
          <c:val>
            <c:numRef>
              <c:f>Chart!$E$41:$E$44</c:f>
              <c:numCache>
                <c:formatCode>#,##0_);[Red]\(#,##0\)</c:formatCode>
                <c:ptCount val="4"/>
                <c:pt idx="0">
                  <c:v>40</c:v>
                </c:pt>
                <c:pt idx="1">
                  <c:v>0</c:v>
                </c:pt>
                <c:pt idx="2">
                  <c:v>39</c:v>
                </c:pt>
                <c:pt idx="3">
                  <c:v>79</c:v>
                </c:pt>
              </c:numCache>
            </c:numRef>
          </c:val>
          <c:extLst>
            <c:ext xmlns:c16="http://schemas.microsoft.com/office/drawing/2014/chart" uri="{C3380CC4-5D6E-409C-BE32-E72D297353CC}">
              <c16:uniqueId val="{00000006-CD70-4637-B812-B1CC878378B3}"/>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CD70-4637-B812-B1CC878378B3}"/>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CD70-4637-B812-B1CC878378B3}"/>
              </c:ext>
            </c:extLst>
          </c:dPt>
          <c:dPt>
            <c:idx val="2"/>
            <c:bubble3D val="0"/>
            <c:spPr>
              <a:noFill/>
              <a:ln w="19050">
                <a:noFill/>
              </a:ln>
              <a:effectLst/>
            </c:spPr>
            <c:extLst>
              <c:ext xmlns:c16="http://schemas.microsoft.com/office/drawing/2014/chart" uri="{C3380CC4-5D6E-409C-BE32-E72D297353CC}">
                <c16:uniqueId val="{0000000C-CD70-4637-B812-B1CC878378B3}"/>
              </c:ext>
            </c:extLst>
          </c:dPt>
          <c:cat>
            <c:strRef>
              <c:f>Chart!$D$45:$D$47</c:f>
              <c:strCache>
                <c:ptCount val="3"/>
                <c:pt idx="0">
                  <c:v>PStart</c:v>
                </c:pt>
                <c:pt idx="1">
                  <c:v>Pointer</c:v>
                </c:pt>
                <c:pt idx="2">
                  <c:v>PEnd</c:v>
                </c:pt>
              </c:strCache>
            </c:strRef>
          </c:cat>
          <c:val>
            <c:numRef>
              <c:f>Chart!$E$45:$E$47</c:f>
              <c:numCache>
                <c:formatCode>#,##0_);[Red]\(#,##0\)</c:formatCode>
                <c:ptCount val="3"/>
                <c:pt idx="0">
                  <c:v>15.407500000000001</c:v>
                </c:pt>
                <c:pt idx="1">
                  <c:v>1.1850000000000001</c:v>
                </c:pt>
                <c:pt idx="2">
                  <c:v>141.4075</c:v>
                </c:pt>
              </c:numCache>
            </c:numRef>
          </c:val>
          <c:extLst>
            <c:ext xmlns:c16="http://schemas.microsoft.com/office/drawing/2014/chart" uri="{C3380CC4-5D6E-409C-BE32-E72D297353CC}">
              <c16:uniqueId val="{0000000D-CD70-4637-B812-B1CC878378B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1"/>
            </a:solidFill>
            <a:ln>
              <a:solidFill>
                <a:schemeClr val="accent1"/>
              </a:solidFill>
            </a:ln>
            <a:effectLst>
              <a:outerShdw blurRad="50800" dist="38100" dir="8100000" algn="tr" rotWithShape="0">
                <a:prstClr val="black">
                  <a:alpha val="40000"/>
                </a:prstClr>
              </a:outerShdw>
            </a:effectLst>
          </c:spPr>
          <c:dPt>
            <c:idx val="0"/>
            <c:bubble3D val="0"/>
            <c:spPr>
              <a:solidFill>
                <a:schemeClr val="accent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44C1-48A5-9E9D-184730128B7D}"/>
              </c:ext>
            </c:extLst>
          </c:dPt>
          <c:dPt>
            <c:idx val="1"/>
            <c:bubble3D val="0"/>
            <c:spPr>
              <a:pattFill prst="pct25">
                <a:fgClr>
                  <a:schemeClr val="accent1"/>
                </a:fgClr>
                <a:bgClr>
                  <a:schemeClr val="bg1"/>
                </a:bgClr>
              </a:patt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44C1-48A5-9E9D-184730128B7D}"/>
              </c:ext>
            </c:extLst>
          </c:dPt>
          <c:dPt>
            <c:idx val="2"/>
            <c:bubble3D val="0"/>
            <c:spPr>
              <a:solidFill>
                <a:schemeClr val="bg1"/>
              </a:solidFill>
              <a:ln w="19050">
                <a:solidFill>
                  <a:schemeClr val="accen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44C1-48A5-9E9D-184730128B7D}"/>
              </c:ext>
            </c:extLst>
          </c:dPt>
          <c:dPt>
            <c:idx val="3"/>
            <c:bubble3D val="0"/>
            <c:spPr>
              <a:noFill/>
              <a:ln w="19050">
                <a:noFill/>
              </a:ln>
              <a:effectLst/>
            </c:spPr>
            <c:extLst>
              <c:ext xmlns:c16="http://schemas.microsoft.com/office/drawing/2014/chart" uri="{C3380CC4-5D6E-409C-BE32-E72D297353CC}">
                <c16:uniqueId val="{00000007-FE39-4493-92CC-830EB71AEB33}"/>
              </c:ext>
            </c:extLst>
          </c:dPt>
          <c:cat>
            <c:strRef>
              <c:f>Chart!$D$45:$D$47</c:f>
              <c:strCache>
                <c:ptCount val="3"/>
                <c:pt idx="0">
                  <c:v>PStart</c:v>
                </c:pt>
                <c:pt idx="1">
                  <c:v>Pointer</c:v>
                </c:pt>
                <c:pt idx="2">
                  <c:v>PEnd</c:v>
                </c:pt>
              </c:strCache>
            </c:strRef>
          </c:cat>
          <c:val>
            <c:numRef>
              <c:f>Chart!$E$52:$E$55</c:f>
              <c:numCache>
                <c:formatCode>#,##0_);[Red]\(#,##0\)</c:formatCode>
                <c:ptCount val="4"/>
                <c:pt idx="0">
                  <c:v>143</c:v>
                </c:pt>
                <c:pt idx="1">
                  <c:v>0</c:v>
                </c:pt>
                <c:pt idx="2">
                  <c:v>79</c:v>
                </c:pt>
                <c:pt idx="3">
                  <c:v>222</c:v>
                </c:pt>
              </c:numCache>
            </c:numRef>
          </c:val>
          <c:extLst>
            <c:ext xmlns:c16="http://schemas.microsoft.com/office/drawing/2014/chart" uri="{C3380CC4-5D6E-409C-BE32-E72D297353CC}">
              <c16:uniqueId val="{00000006-44C1-48A5-9E9D-184730128B7D}"/>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44C1-48A5-9E9D-184730128B7D}"/>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44C1-48A5-9E9D-184730128B7D}"/>
              </c:ext>
            </c:extLst>
          </c:dPt>
          <c:dPt>
            <c:idx val="2"/>
            <c:bubble3D val="0"/>
            <c:spPr>
              <a:noFill/>
              <a:ln w="19050">
                <a:noFill/>
              </a:ln>
              <a:effectLst/>
            </c:spPr>
            <c:extLst>
              <c:ext xmlns:c16="http://schemas.microsoft.com/office/drawing/2014/chart" uri="{C3380CC4-5D6E-409C-BE32-E72D297353CC}">
                <c16:uniqueId val="{0000000C-44C1-48A5-9E9D-184730128B7D}"/>
              </c:ext>
            </c:extLst>
          </c:dPt>
          <c:cat>
            <c:strRef>
              <c:f>Chart!$D$45:$D$47</c:f>
              <c:strCache>
                <c:ptCount val="3"/>
                <c:pt idx="0">
                  <c:v>PStart</c:v>
                </c:pt>
                <c:pt idx="1">
                  <c:v>Pointer</c:v>
                </c:pt>
                <c:pt idx="2">
                  <c:v>PEnd</c:v>
                </c:pt>
              </c:strCache>
            </c:strRef>
          </c:cat>
          <c:val>
            <c:numRef>
              <c:f>Chart!$E$56:$E$58</c:f>
              <c:numCache>
                <c:formatCode>#,##0_);[Red]\(#,##0\)</c:formatCode>
                <c:ptCount val="3"/>
                <c:pt idx="0">
                  <c:v>57.335000000000001</c:v>
                </c:pt>
                <c:pt idx="1">
                  <c:v>3.33</c:v>
                </c:pt>
                <c:pt idx="2">
                  <c:v>383.33499999999998</c:v>
                </c:pt>
              </c:numCache>
            </c:numRef>
          </c:val>
          <c:extLst>
            <c:ext xmlns:c16="http://schemas.microsoft.com/office/drawing/2014/chart" uri="{C3380CC4-5D6E-409C-BE32-E72D297353CC}">
              <c16:uniqueId val="{0000000D-44C1-48A5-9E9D-184730128B7D}"/>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lumMod val="50000"/>
              </a:schemeClr>
            </a:solidFill>
            <a:ln>
              <a:solidFill>
                <a:schemeClr val="accent5">
                  <a:lumMod val="50000"/>
                </a:schemeClr>
              </a:solidFill>
            </a:ln>
            <a:effectLst>
              <a:outerShdw blurRad="50800" dist="38100" dir="8100000" algn="tr" rotWithShape="0">
                <a:prstClr val="black">
                  <a:alpha val="40000"/>
                </a:prstClr>
              </a:outerShdw>
            </a:effectLst>
          </c:spPr>
          <c:dPt>
            <c:idx val="0"/>
            <c:bubble3D val="0"/>
            <c:spPr>
              <a:solidFill>
                <a:schemeClr val="accent5">
                  <a:lumMod val="50000"/>
                </a:schemeClr>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30B-4CB5-B01E-1C1C310E0C59}"/>
              </c:ext>
            </c:extLst>
          </c:dPt>
          <c:dPt>
            <c:idx val="1"/>
            <c:bubble3D val="0"/>
            <c:spPr>
              <a:pattFill prst="pct25">
                <a:fgClr>
                  <a:schemeClr val="accent5">
                    <a:lumMod val="50000"/>
                  </a:schemeClr>
                </a:fgClr>
                <a:bgClr>
                  <a:schemeClr val="bg1"/>
                </a:bgClr>
              </a:patt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30B-4CB5-B01E-1C1C310E0C59}"/>
              </c:ext>
            </c:extLst>
          </c:dPt>
          <c:dPt>
            <c:idx val="2"/>
            <c:bubble3D val="0"/>
            <c:spPr>
              <a:solidFill>
                <a:schemeClr val="bg1"/>
              </a:solidFill>
              <a:ln w="19050">
                <a:solidFill>
                  <a:schemeClr val="accent5">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230B-4CB5-B01E-1C1C310E0C59}"/>
              </c:ext>
            </c:extLst>
          </c:dPt>
          <c:dPt>
            <c:idx val="3"/>
            <c:bubble3D val="0"/>
            <c:spPr>
              <a:noFill/>
              <a:ln w="19050">
                <a:noFill/>
              </a:ln>
              <a:effectLst/>
            </c:spPr>
            <c:extLst>
              <c:ext xmlns:c16="http://schemas.microsoft.com/office/drawing/2014/chart" uri="{C3380CC4-5D6E-409C-BE32-E72D297353CC}">
                <c16:uniqueId val="{00000007-7912-4217-8287-CC645869C5A8}"/>
              </c:ext>
            </c:extLst>
          </c:dPt>
          <c:cat>
            <c:strRef>
              <c:f>Chart!$D$45:$D$47</c:f>
              <c:strCache>
                <c:ptCount val="3"/>
                <c:pt idx="0">
                  <c:v>PStart</c:v>
                </c:pt>
                <c:pt idx="1">
                  <c:v>Pointer</c:v>
                </c:pt>
                <c:pt idx="2">
                  <c:v>PEnd</c:v>
                </c:pt>
              </c:strCache>
            </c:strRef>
          </c:cat>
          <c:val>
            <c:numRef>
              <c:f>Chart!$F$41:$F$44</c:f>
              <c:numCache>
                <c:formatCode>#,##0_);[Red]\(#,##0\)</c:formatCode>
                <c:ptCount val="4"/>
                <c:pt idx="0">
                  <c:v>40</c:v>
                </c:pt>
                <c:pt idx="1">
                  <c:v>0</c:v>
                </c:pt>
                <c:pt idx="2">
                  <c:v>39</c:v>
                </c:pt>
                <c:pt idx="3">
                  <c:v>79</c:v>
                </c:pt>
              </c:numCache>
            </c:numRef>
          </c:val>
          <c:extLst>
            <c:ext xmlns:c16="http://schemas.microsoft.com/office/drawing/2014/chart" uri="{C3380CC4-5D6E-409C-BE32-E72D297353CC}">
              <c16:uniqueId val="{00000006-230B-4CB5-B01E-1C1C310E0C59}"/>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230B-4CB5-B01E-1C1C310E0C59}"/>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30B-4CB5-B01E-1C1C310E0C59}"/>
              </c:ext>
            </c:extLst>
          </c:dPt>
          <c:dPt>
            <c:idx val="2"/>
            <c:bubble3D val="0"/>
            <c:spPr>
              <a:noFill/>
              <a:ln w="19050">
                <a:noFill/>
              </a:ln>
              <a:effectLst/>
            </c:spPr>
            <c:extLst>
              <c:ext xmlns:c16="http://schemas.microsoft.com/office/drawing/2014/chart" uri="{C3380CC4-5D6E-409C-BE32-E72D297353CC}">
                <c16:uniqueId val="{0000000C-230B-4CB5-B01E-1C1C310E0C59}"/>
              </c:ext>
            </c:extLst>
          </c:dPt>
          <c:cat>
            <c:strRef>
              <c:f>Chart!$D$45:$D$47</c:f>
              <c:strCache>
                <c:ptCount val="3"/>
                <c:pt idx="0">
                  <c:v>PStart</c:v>
                </c:pt>
                <c:pt idx="1">
                  <c:v>Pointer</c:v>
                </c:pt>
                <c:pt idx="2">
                  <c:v>PEnd</c:v>
                </c:pt>
              </c:strCache>
            </c:strRef>
          </c:cat>
          <c:val>
            <c:numRef>
              <c:f>Chart!$F$45:$F$47</c:f>
              <c:numCache>
                <c:formatCode>#,##0_);[Red]\(#,##0\)</c:formatCode>
                <c:ptCount val="3"/>
                <c:pt idx="0">
                  <c:v>15.407500000000001</c:v>
                </c:pt>
                <c:pt idx="1">
                  <c:v>1.1850000000000001</c:v>
                </c:pt>
                <c:pt idx="2">
                  <c:v>141.4075</c:v>
                </c:pt>
              </c:numCache>
            </c:numRef>
          </c:val>
          <c:extLst>
            <c:ext xmlns:c16="http://schemas.microsoft.com/office/drawing/2014/chart" uri="{C3380CC4-5D6E-409C-BE32-E72D297353CC}">
              <c16:uniqueId val="{0000000D-230B-4CB5-B01E-1C1C310E0C59}"/>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5"/>
            </a:solidFill>
            <a:ln>
              <a:solidFill>
                <a:schemeClr val="accent5"/>
              </a:solidFill>
            </a:ln>
            <a:effectLst>
              <a:outerShdw blurRad="50800" dist="38100" dir="8100000" algn="tr" rotWithShape="0">
                <a:prstClr val="black">
                  <a:alpha val="40000"/>
                </a:prstClr>
              </a:outerShdw>
            </a:effectLst>
          </c:spPr>
          <c:dPt>
            <c:idx val="0"/>
            <c:bubble3D val="0"/>
            <c:spPr>
              <a:solidFill>
                <a:schemeClr val="accent5"/>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5266-4168-ACD0-F2279DE3A674}"/>
              </c:ext>
            </c:extLst>
          </c:dPt>
          <c:dPt>
            <c:idx val="1"/>
            <c:bubble3D val="0"/>
            <c:spPr>
              <a:pattFill prst="pct25">
                <a:fgClr>
                  <a:schemeClr val="accent5"/>
                </a:fgClr>
                <a:bgClr>
                  <a:schemeClr val="bg1"/>
                </a:bgClr>
              </a:patt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5266-4168-ACD0-F2279DE3A674}"/>
              </c:ext>
            </c:extLst>
          </c:dPt>
          <c:dPt>
            <c:idx val="2"/>
            <c:bubble3D val="0"/>
            <c:spPr>
              <a:solidFill>
                <a:schemeClr val="bg1"/>
              </a:solidFill>
              <a:ln w="19050">
                <a:solidFill>
                  <a:schemeClr val="accent5"/>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5266-4168-ACD0-F2279DE3A674}"/>
              </c:ext>
            </c:extLst>
          </c:dPt>
          <c:dPt>
            <c:idx val="3"/>
            <c:bubble3D val="0"/>
            <c:spPr>
              <a:noFill/>
              <a:ln w="19050">
                <a:noFill/>
              </a:ln>
              <a:effectLst/>
            </c:spPr>
            <c:extLst>
              <c:ext xmlns:c16="http://schemas.microsoft.com/office/drawing/2014/chart" uri="{C3380CC4-5D6E-409C-BE32-E72D297353CC}">
                <c16:uniqueId val="{00000007-3D8C-4A28-89A7-8F969E9B56A8}"/>
              </c:ext>
            </c:extLst>
          </c:dPt>
          <c:cat>
            <c:strRef>
              <c:f>Chart!$D$45:$D$47</c:f>
              <c:strCache>
                <c:ptCount val="3"/>
                <c:pt idx="0">
                  <c:v>PStart</c:v>
                </c:pt>
                <c:pt idx="1">
                  <c:v>Pointer</c:v>
                </c:pt>
                <c:pt idx="2">
                  <c:v>PEnd</c:v>
                </c:pt>
              </c:strCache>
            </c:strRef>
          </c:cat>
          <c:val>
            <c:numRef>
              <c:f>Chart!$F$52:$F$55</c:f>
              <c:numCache>
                <c:formatCode>#,##0_);[Red]\(#,##0\)</c:formatCode>
                <c:ptCount val="4"/>
                <c:pt idx="0">
                  <c:v>143</c:v>
                </c:pt>
                <c:pt idx="1">
                  <c:v>0</c:v>
                </c:pt>
                <c:pt idx="2">
                  <c:v>79</c:v>
                </c:pt>
                <c:pt idx="3">
                  <c:v>222</c:v>
                </c:pt>
              </c:numCache>
            </c:numRef>
          </c:val>
          <c:extLst>
            <c:ext xmlns:c16="http://schemas.microsoft.com/office/drawing/2014/chart" uri="{C3380CC4-5D6E-409C-BE32-E72D297353CC}">
              <c16:uniqueId val="{00000006-5266-4168-ACD0-F2279DE3A674}"/>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5266-4168-ACD0-F2279DE3A674}"/>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5266-4168-ACD0-F2279DE3A674}"/>
              </c:ext>
            </c:extLst>
          </c:dPt>
          <c:dPt>
            <c:idx val="2"/>
            <c:bubble3D val="0"/>
            <c:spPr>
              <a:noFill/>
              <a:ln w="19050">
                <a:noFill/>
              </a:ln>
              <a:effectLst/>
            </c:spPr>
            <c:extLst>
              <c:ext xmlns:c16="http://schemas.microsoft.com/office/drawing/2014/chart" uri="{C3380CC4-5D6E-409C-BE32-E72D297353CC}">
                <c16:uniqueId val="{0000000C-5266-4168-ACD0-F2279DE3A674}"/>
              </c:ext>
            </c:extLst>
          </c:dPt>
          <c:cat>
            <c:strRef>
              <c:f>Chart!$D$45:$D$47</c:f>
              <c:strCache>
                <c:ptCount val="3"/>
                <c:pt idx="0">
                  <c:v>PStart</c:v>
                </c:pt>
                <c:pt idx="1">
                  <c:v>Pointer</c:v>
                </c:pt>
                <c:pt idx="2">
                  <c:v>PEnd</c:v>
                </c:pt>
              </c:strCache>
            </c:strRef>
          </c:cat>
          <c:val>
            <c:numRef>
              <c:f>Chart!$F$56:$F$58</c:f>
              <c:numCache>
                <c:formatCode>#,##0_);[Red]\(#,##0\)</c:formatCode>
                <c:ptCount val="3"/>
                <c:pt idx="0">
                  <c:v>87.334999999999994</c:v>
                </c:pt>
                <c:pt idx="1">
                  <c:v>3.33</c:v>
                </c:pt>
                <c:pt idx="2">
                  <c:v>353.33500000000004</c:v>
                </c:pt>
              </c:numCache>
            </c:numRef>
          </c:val>
          <c:extLst>
            <c:ext xmlns:c16="http://schemas.microsoft.com/office/drawing/2014/chart" uri="{C3380CC4-5D6E-409C-BE32-E72D297353CC}">
              <c16:uniqueId val="{0000000D-5266-4168-ACD0-F2279DE3A674}"/>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lumMod val="75000"/>
              </a:schemeClr>
            </a:solidFill>
            <a:ln>
              <a:solidFill>
                <a:schemeClr val="accent6">
                  <a:lumMod val="75000"/>
                </a:schemeClr>
              </a:solidFill>
            </a:ln>
            <a:effectLst>
              <a:outerShdw blurRad="50800" dist="38100" dir="8100000" algn="tr" rotWithShape="0">
                <a:prstClr val="black">
                  <a:alpha val="40000"/>
                </a:prstClr>
              </a:outerShdw>
            </a:effectLst>
          </c:spPr>
          <c:dPt>
            <c:idx val="0"/>
            <c:bubble3D val="0"/>
            <c:spPr>
              <a:solidFill>
                <a:schemeClr val="accent6">
                  <a:lumMod val="75000"/>
                </a:schemeClr>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E5C-4620-9DD9-2E268B3AB2F5}"/>
              </c:ext>
            </c:extLst>
          </c:dPt>
          <c:dPt>
            <c:idx val="1"/>
            <c:bubble3D val="0"/>
            <c:spPr>
              <a:pattFill prst="pct25">
                <a:fgClr>
                  <a:schemeClr val="accent6">
                    <a:lumMod val="75000"/>
                  </a:schemeClr>
                </a:fgClr>
                <a:bgClr>
                  <a:schemeClr val="bg1"/>
                </a:bgClr>
              </a:patt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E5C-4620-9DD9-2E268B3AB2F5}"/>
              </c:ext>
            </c:extLst>
          </c:dPt>
          <c:dPt>
            <c:idx val="2"/>
            <c:bubble3D val="0"/>
            <c:spPr>
              <a:solidFill>
                <a:schemeClr val="bg1"/>
              </a:solidFill>
              <a:ln w="19050">
                <a:solidFill>
                  <a:schemeClr val="accent6">
                    <a:lumMod val="75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DE5C-4620-9DD9-2E268B3AB2F5}"/>
              </c:ext>
            </c:extLst>
          </c:dPt>
          <c:dPt>
            <c:idx val="3"/>
            <c:bubble3D val="0"/>
            <c:spPr>
              <a:noFill/>
              <a:ln w="19050">
                <a:noFill/>
              </a:ln>
              <a:effectLst/>
            </c:spPr>
            <c:extLst>
              <c:ext xmlns:c16="http://schemas.microsoft.com/office/drawing/2014/chart" uri="{C3380CC4-5D6E-409C-BE32-E72D297353CC}">
                <c16:uniqueId val="{00000007-3B68-4BBE-8337-9C6755683666}"/>
              </c:ext>
            </c:extLst>
          </c:dPt>
          <c:cat>
            <c:strRef>
              <c:f>Chart!$D$45:$D$47</c:f>
              <c:strCache>
                <c:ptCount val="3"/>
                <c:pt idx="0">
                  <c:v>PStart</c:v>
                </c:pt>
                <c:pt idx="1">
                  <c:v>Pointer</c:v>
                </c:pt>
                <c:pt idx="2">
                  <c:v>PEnd</c:v>
                </c:pt>
              </c:strCache>
            </c:strRef>
          </c:cat>
          <c:val>
            <c:numRef>
              <c:f>Chart!$G$41:$G$44</c:f>
              <c:numCache>
                <c:formatCode>#,##0_);[Red]\(#,##0\)</c:formatCode>
                <c:ptCount val="4"/>
                <c:pt idx="0">
                  <c:v>40</c:v>
                </c:pt>
                <c:pt idx="1">
                  <c:v>0</c:v>
                </c:pt>
                <c:pt idx="2">
                  <c:v>39</c:v>
                </c:pt>
                <c:pt idx="3">
                  <c:v>79</c:v>
                </c:pt>
              </c:numCache>
            </c:numRef>
          </c:val>
          <c:extLst>
            <c:ext xmlns:c16="http://schemas.microsoft.com/office/drawing/2014/chart" uri="{C3380CC4-5D6E-409C-BE32-E72D297353CC}">
              <c16:uniqueId val="{00000006-DE5C-4620-9DD9-2E268B3AB2F5}"/>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DE5C-4620-9DD9-2E268B3AB2F5}"/>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DE5C-4620-9DD9-2E268B3AB2F5}"/>
              </c:ext>
            </c:extLst>
          </c:dPt>
          <c:dPt>
            <c:idx val="2"/>
            <c:bubble3D val="0"/>
            <c:spPr>
              <a:noFill/>
              <a:ln w="19050">
                <a:noFill/>
              </a:ln>
              <a:effectLst/>
            </c:spPr>
            <c:extLst>
              <c:ext xmlns:c16="http://schemas.microsoft.com/office/drawing/2014/chart" uri="{C3380CC4-5D6E-409C-BE32-E72D297353CC}">
                <c16:uniqueId val="{0000000C-DE5C-4620-9DD9-2E268B3AB2F5}"/>
              </c:ext>
            </c:extLst>
          </c:dPt>
          <c:cat>
            <c:strRef>
              <c:f>Chart!$D$45:$D$47</c:f>
              <c:strCache>
                <c:ptCount val="3"/>
                <c:pt idx="0">
                  <c:v>PStart</c:v>
                </c:pt>
                <c:pt idx="1">
                  <c:v>Pointer</c:v>
                </c:pt>
                <c:pt idx="2">
                  <c:v>PEnd</c:v>
                </c:pt>
              </c:strCache>
            </c:strRef>
          </c:cat>
          <c:val>
            <c:numRef>
              <c:f>Chart!$G$45:$G$47</c:f>
              <c:numCache>
                <c:formatCode>#,##0_);[Red]\(#,##0\)</c:formatCode>
                <c:ptCount val="3"/>
                <c:pt idx="0">
                  <c:v>39.407499999999999</c:v>
                </c:pt>
                <c:pt idx="1">
                  <c:v>1.1850000000000001</c:v>
                </c:pt>
                <c:pt idx="2">
                  <c:v>117.4075</c:v>
                </c:pt>
              </c:numCache>
            </c:numRef>
          </c:val>
          <c:extLst>
            <c:ext xmlns:c16="http://schemas.microsoft.com/office/drawing/2014/chart" uri="{C3380CC4-5D6E-409C-BE32-E72D297353CC}">
              <c16:uniqueId val="{0000000D-DE5C-4620-9DD9-2E268B3AB2F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6"/>
            </a:solidFill>
            <a:ln>
              <a:solidFill>
                <a:schemeClr val="accent6"/>
              </a:solidFill>
            </a:ln>
            <a:effectLst>
              <a:outerShdw blurRad="50800" dist="38100" dir="8100000" algn="tr" rotWithShape="0">
                <a:prstClr val="black">
                  <a:alpha val="40000"/>
                </a:prstClr>
              </a:outerShdw>
            </a:effectLst>
          </c:spPr>
          <c:dPt>
            <c:idx val="0"/>
            <c:bubble3D val="0"/>
            <c:spPr>
              <a:solidFill>
                <a:schemeClr val="accent6"/>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5505-40D9-AA04-8B8D202CD9E2}"/>
              </c:ext>
            </c:extLst>
          </c:dPt>
          <c:dPt>
            <c:idx val="1"/>
            <c:bubble3D val="0"/>
            <c:spPr>
              <a:pattFill prst="pct25">
                <a:fgClr>
                  <a:schemeClr val="accent6"/>
                </a:fgClr>
                <a:bgClr>
                  <a:schemeClr val="bg1"/>
                </a:bgClr>
              </a:patt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5505-40D9-AA04-8B8D202CD9E2}"/>
              </c:ext>
            </c:extLst>
          </c:dPt>
          <c:dPt>
            <c:idx val="2"/>
            <c:bubble3D val="0"/>
            <c:spPr>
              <a:solidFill>
                <a:schemeClr val="bg1"/>
              </a:solidFill>
              <a:ln w="19050">
                <a:solidFill>
                  <a:schemeClr val="accent6"/>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5505-40D9-AA04-8B8D202CD9E2}"/>
              </c:ext>
            </c:extLst>
          </c:dPt>
          <c:dPt>
            <c:idx val="3"/>
            <c:bubble3D val="0"/>
            <c:spPr>
              <a:noFill/>
              <a:ln w="19050">
                <a:noFill/>
              </a:ln>
              <a:effectLst/>
            </c:spPr>
            <c:extLst>
              <c:ext xmlns:c16="http://schemas.microsoft.com/office/drawing/2014/chart" uri="{C3380CC4-5D6E-409C-BE32-E72D297353CC}">
                <c16:uniqueId val="{00000007-9C8F-4935-8BDC-7983231D8026}"/>
              </c:ext>
            </c:extLst>
          </c:dPt>
          <c:cat>
            <c:strRef>
              <c:f>Chart!$D$45:$D$47</c:f>
              <c:strCache>
                <c:ptCount val="3"/>
                <c:pt idx="0">
                  <c:v>PStart</c:v>
                </c:pt>
                <c:pt idx="1">
                  <c:v>Pointer</c:v>
                </c:pt>
                <c:pt idx="2">
                  <c:v>PEnd</c:v>
                </c:pt>
              </c:strCache>
            </c:strRef>
          </c:cat>
          <c:val>
            <c:numRef>
              <c:f>Chart!$G$52:$G$55</c:f>
              <c:numCache>
                <c:formatCode>#,##0_);[Red]\(#,##0\)</c:formatCode>
                <c:ptCount val="4"/>
                <c:pt idx="0">
                  <c:v>143</c:v>
                </c:pt>
                <c:pt idx="1">
                  <c:v>0</c:v>
                </c:pt>
                <c:pt idx="2">
                  <c:v>79</c:v>
                </c:pt>
                <c:pt idx="3">
                  <c:v>222</c:v>
                </c:pt>
              </c:numCache>
            </c:numRef>
          </c:val>
          <c:extLst>
            <c:ext xmlns:c16="http://schemas.microsoft.com/office/drawing/2014/chart" uri="{C3380CC4-5D6E-409C-BE32-E72D297353CC}">
              <c16:uniqueId val="{00000006-5505-40D9-AA04-8B8D202CD9E2}"/>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5505-40D9-AA04-8B8D202CD9E2}"/>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5505-40D9-AA04-8B8D202CD9E2}"/>
              </c:ext>
            </c:extLst>
          </c:dPt>
          <c:dPt>
            <c:idx val="2"/>
            <c:bubble3D val="0"/>
            <c:spPr>
              <a:noFill/>
              <a:ln w="19050">
                <a:noFill/>
              </a:ln>
              <a:effectLst/>
            </c:spPr>
            <c:extLst>
              <c:ext xmlns:c16="http://schemas.microsoft.com/office/drawing/2014/chart" uri="{C3380CC4-5D6E-409C-BE32-E72D297353CC}">
                <c16:uniqueId val="{0000000C-5505-40D9-AA04-8B8D202CD9E2}"/>
              </c:ext>
            </c:extLst>
          </c:dPt>
          <c:cat>
            <c:strRef>
              <c:f>Chart!$D$45:$D$47</c:f>
              <c:strCache>
                <c:ptCount val="3"/>
                <c:pt idx="0">
                  <c:v>PStart</c:v>
                </c:pt>
                <c:pt idx="1">
                  <c:v>Pointer</c:v>
                </c:pt>
                <c:pt idx="2">
                  <c:v>PEnd</c:v>
                </c:pt>
              </c:strCache>
            </c:strRef>
          </c:cat>
          <c:val>
            <c:numRef>
              <c:f>Chart!$G$56:$G$58</c:f>
              <c:numCache>
                <c:formatCode>#,##0_);[Red]\(#,##0\)</c:formatCode>
                <c:ptCount val="3"/>
                <c:pt idx="0">
                  <c:v>117.33499999999999</c:v>
                </c:pt>
                <c:pt idx="1">
                  <c:v>3.33</c:v>
                </c:pt>
                <c:pt idx="2">
                  <c:v>323.33500000000004</c:v>
                </c:pt>
              </c:numCache>
            </c:numRef>
          </c:val>
          <c:extLst>
            <c:ext xmlns:c16="http://schemas.microsoft.com/office/drawing/2014/chart" uri="{C3380CC4-5D6E-409C-BE32-E72D297353CC}">
              <c16:uniqueId val="{0000000D-5505-40D9-AA04-8B8D202CD9E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lumMod val="50000"/>
              </a:schemeClr>
            </a:solidFill>
            <a:ln>
              <a:solidFill>
                <a:schemeClr val="accent4">
                  <a:lumMod val="50000"/>
                </a:schemeClr>
              </a:solidFill>
            </a:ln>
            <a:effectLst>
              <a:outerShdw blurRad="50800" dist="38100" dir="8100000" algn="tr" rotWithShape="0">
                <a:prstClr val="black">
                  <a:alpha val="40000"/>
                </a:prstClr>
              </a:outerShdw>
            </a:effectLst>
          </c:spPr>
          <c:dPt>
            <c:idx val="0"/>
            <c:bubble3D val="0"/>
            <c:spPr>
              <a:solidFill>
                <a:schemeClr val="accent4">
                  <a:lumMod val="50000"/>
                </a:schemeClr>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BEAE-4E5D-8F46-2A118AD0A950}"/>
              </c:ext>
            </c:extLst>
          </c:dPt>
          <c:dPt>
            <c:idx val="1"/>
            <c:bubble3D val="0"/>
            <c:spPr>
              <a:pattFill prst="pct25">
                <a:fgClr>
                  <a:schemeClr val="accent4">
                    <a:lumMod val="50000"/>
                  </a:schemeClr>
                </a:fgClr>
                <a:bgClr>
                  <a:schemeClr val="bg1"/>
                </a:bgClr>
              </a:patt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BEAE-4E5D-8F46-2A118AD0A950}"/>
              </c:ext>
            </c:extLst>
          </c:dPt>
          <c:dPt>
            <c:idx val="2"/>
            <c:bubble3D val="0"/>
            <c:spPr>
              <a:solidFill>
                <a:schemeClr val="bg1"/>
              </a:solidFill>
              <a:ln w="19050">
                <a:solidFill>
                  <a:schemeClr val="accent4">
                    <a:lumMod val="50000"/>
                  </a:schemeClr>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BEAE-4E5D-8F46-2A118AD0A950}"/>
              </c:ext>
            </c:extLst>
          </c:dPt>
          <c:dPt>
            <c:idx val="3"/>
            <c:bubble3D val="0"/>
            <c:spPr>
              <a:noFill/>
              <a:ln w="19050">
                <a:noFill/>
              </a:ln>
              <a:effectLst/>
            </c:spPr>
            <c:extLst>
              <c:ext xmlns:c16="http://schemas.microsoft.com/office/drawing/2014/chart" uri="{C3380CC4-5D6E-409C-BE32-E72D297353CC}">
                <c16:uniqueId val="{00000007-88D8-4E70-9857-944950B521A2}"/>
              </c:ext>
            </c:extLst>
          </c:dPt>
          <c:cat>
            <c:strRef>
              <c:f>Chart!$D$45:$D$47</c:f>
              <c:strCache>
                <c:ptCount val="3"/>
                <c:pt idx="0">
                  <c:v>PStart</c:v>
                </c:pt>
                <c:pt idx="1">
                  <c:v>Pointer</c:v>
                </c:pt>
                <c:pt idx="2">
                  <c:v>PEnd</c:v>
                </c:pt>
              </c:strCache>
            </c:strRef>
          </c:cat>
          <c:val>
            <c:numRef>
              <c:f>Chart!$H$41:$H$44</c:f>
              <c:numCache>
                <c:formatCode>#,##0_);[Red]\(#,##0\)</c:formatCode>
                <c:ptCount val="4"/>
                <c:pt idx="0">
                  <c:v>40</c:v>
                </c:pt>
                <c:pt idx="1">
                  <c:v>0</c:v>
                </c:pt>
                <c:pt idx="2">
                  <c:v>39</c:v>
                </c:pt>
                <c:pt idx="3">
                  <c:v>79</c:v>
                </c:pt>
              </c:numCache>
            </c:numRef>
          </c:val>
          <c:extLst>
            <c:ext xmlns:c16="http://schemas.microsoft.com/office/drawing/2014/chart" uri="{C3380CC4-5D6E-409C-BE32-E72D297353CC}">
              <c16:uniqueId val="{00000006-BEAE-4E5D-8F46-2A118AD0A950}"/>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a:effectLst>
              <a:outerShdw blurRad="50800" dist="38100" dir="8100000" algn="tr" rotWithShape="0">
                <a:prstClr val="black">
                  <a:alpha val="40000"/>
                </a:prstClr>
              </a:outerShdw>
            </a:effectLst>
          </c:spPr>
          <c:dPt>
            <c:idx val="0"/>
            <c:bubble3D val="0"/>
            <c:spPr>
              <a:noFill/>
              <a:ln w="19050">
                <a:noFill/>
              </a:ln>
              <a:effectLst/>
            </c:spPr>
            <c:extLst>
              <c:ext xmlns:c16="http://schemas.microsoft.com/office/drawing/2014/chart" uri="{C3380CC4-5D6E-409C-BE32-E72D297353CC}">
                <c16:uniqueId val="{00000008-BEAE-4E5D-8F46-2A118AD0A950}"/>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BEAE-4E5D-8F46-2A118AD0A950}"/>
              </c:ext>
            </c:extLst>
          </c:dPt>
          <c:dPt>
            <c:idx val="2"/>
            <c:bubble3D val="0"/>
            <c:spPr>
              <a:noFill/>
              <a:ln w="19050">
                <a:noFill/>
              </a:ln>
              <a:effectLst/>
            </c:spPr>
            <c:extLst>
              <c:ext xmlns:c16="http://schemas.microsoft.com/office/drawing/2014/chart" uri="{C3380CC4-5D6E-409C-BE32-E72D297353CC}">
                <c16:uniqueId val="{0000000C-BEAE-4E5D-8F46-2A118AD0A950}"/>
              </c:ext>
            </c:extLst>
          </c:dPt>
          <c:cat>
            <c:strRef>
              <c:f>Chart!$D$45:$D$47</c:f>
              <c:strCache>
                <c:ptCount val="3"/>
                <c:pt idx="0">
                  <c:v>PStart</c:v>
                </c:pt>
                <c:pt idx="1">
                  <c:v>Pointer</c:v>
                </c:pt>
                <c:pt idx="2">
                  <c:v>PEnd</c:v>
                </c:pt>
              </c:strCache>
            </c:strRef>
          </c:cat>
          <c:val>
            <c:numRef>
              <c:f>Chart!$H$45:$H$47</c:f>
              <c:numCache>
                <c:formatCode>#,##0_);[Red]\(#,##0\)</c:formatCode>
                <c:ptCount val="3"/>
                <c:pt idx="0">
                  <c:v>39.407499999999999</c:v>
                </c:pt>
                <c:pt idx="1">
                  <c:v>1.1850000000000001</c:v>
                </c:pt>
                <c:pt idx="2">
                  <c:v>117.4075</c:v>
                </c:pt>
              </c:numCache>
            </c:numRef>
          </c:val>
          <c:extLst>
            <c:ext xmlns:c16="http://schemas.microsoft.com/office/drawing/2014/chart" uri="{C3380CC4-5D6E-409C-BE32-E72D297353CC}">
              <c16:uniqueId val="{0000000D-BEAE-4E5D-8F46-2A118AD0A95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3993875765529E-2"/>
          <c:y val="9.970628441108538E-2"/>
          <c:w val="0.97187117235345577"/>
          <c:h val="0.82566072071190411"/>
        </c:manualLayout>
      </c:layout>
      <c:doughnutChart>
        <c:varyColors val="1"/>
        <c:ser>
          <c:idx val="0"/>
          <c:order val="0"/>
          <c:spPr>
            <a:solidFill>
              <a:schemeClr val="accent4"/>
            </a:solidFill>
            <a:ln>
              <a:solidFill>
                <a:schemeClr val="accent4"/>
              </a:solidFill>
            </a:ln>
            <a:effectLst>
              <a:outerShdw blurRad="50800" dist="38100" dir="8100000" algn="tr" rotWithShape="0">
                <a:prstClr val="black">
                  <a:alpha val="40000"/>
                </a:prstClr>
              </a:outerShdw>
            </a:effectLst>
          </c:spPr>
          <c:dPt>
            <c:idx val="0"/>
            <c:bubble3D val="0"/>
            <c:spPr>
              <a:solidFill>
                <a:schemeClr val="accent4"/>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F277-465B-A5F8-6786EB7625BB}"/>
              </c:ext>
            </c:extLst>
          </c:dPt>
          <c:dPt>
            <c:idx val="1"/>
            <c:bubble3D val="0"/>
            <c:spPr>
              <a:pattFill prst="pct25">
                <a:fgClr>
                  <a:schemeClr val="accent4"/>
                </a:fgClr>
                <a:bgClr>
                  <a:schemeClr val="bg1"/>
                </a:bgClr>
              </a:patt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F277-465B-A5F8-6786EB7625BB}"/>
              </c:ext>
            </c:extLst>
          </c:dPt>
          <c:dPt>
            <c:idx val="2"/>
            <c:bubble3D val="0"/>
            <c:spPr>
              <a:solidFill>
                <a:schemeClr val="bg1"/>
              </a:solidFill>
              <a:ln w="19050">
                <a:solidFill>
                  <a:schemeClr val="accent4"/>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F277-465B-A5F8-6786EB7625BB}"/>
              </c:ext>
            </c:extLst>
          </c:dPt>
          <c:dPt>
            <c:idx val="3"/>
            <c:bubble3D val="0"/>
            <c:spPr>
              <a:noFill/>
              <a:ln w="19050">
                <a:noFill/>
              </a:ln>
              <a:effectLst/>
            </c:spPr>
            <c:extLst>
              <c:ext xmlns:c16="http://schemas.microsoft.com/office/drawing/2014/chart" uri="{C3380CC4-5D6E-409C-BE32-E72D297353CC}">
                <c16:uniqueId val="{00000007-BB34-49EA-B60D-F31B8DA1962E}"/>
              </c:ext>
            </c:extLst>
          </c:dPt>
          <c:cat>
            <c:strRef>
              <c:f>Chart!$D$45:$D$47</c:f>
              <c:strCache>
                <c:ptCount val="3"/>
                <c:pt idx="0">
                  <c:v>PStart</c:v>
                </c:pt>
                <c:pt idx="1">
                  <c:v>Pointer</c:v>
                </c:pt>
                <c:pt idx="2">
                  <c:v>PEnd</c:v>
                </c:pt>
              </c:strCache>
            </c:strRef>
          </c:cat>
          <c:val>
            <c:numRef>
              <c:f>Chart!$H$52:$H$55</c:f>
              <c:numCache>
                <c:formatCode>#,##0_);[Red]\(#,##0\)</c:formatCode>
                <c:ptCount val="4"/>
                <c:pt idx="0">
                  <c:v>143</c:v>
                </c:pt>
                <c:pt idx="1">
                  <c:v>0</c:v>
                </c:pt>
                <c:pt idx="2">
                  <c:v>79</c:v>
                </c:pt>
                <c:pt idx="3">
                  <c:v>222</c:v>
                </c:pt>
              </c:numCache>
            </c:numRef>
          </c:val>
          <c:extLst>
            <c:ext xmlns:c16="http://schemas.microsoft.com/office/drawing/2014/chart" uri="{C3380CC4-5D6E-409C-BE32-E72D297353CC}">
              <c16:uniqueId val="{00000006-F277-465B-A5F8-6786EB7625BB}"/>
            </c:ext>
          </c:extLst>
        </c:ser>
        <c:dLbls>
          <c:showLegendKey val="0"/>
          <c:showVal val="0"/>
          <c:showCatName val="0"/>
          <c:showSerName val="0"/>
          <c:showPercent val="0"/>
          <c:showBubbleSize val="0"/>
          <c:showLeaderLines val="1"/>
        </c:dLbls>
        <c:firstSliceAng val="270"/>
        <c:holeSize val="85"/>
      </c:doughnutChart>
      <c:pieChart>
        <c:varyColors val="1"/>
        <c:ser>
          <c:idx val="1"/>
          <c:order val="1"/>
          <c:spPr>
            <a:solidFill>
              <a:srgbClr val="FF0000"/>
            </a:solidFill>
            <a:ln>
              <a:noFill/>
            </a:ln>
          </c:spPr>
          <c:dPt>
            <c:idx val="0"/>
            <c:bubble3D val="0"/>
            <c:spPr>
              <a:noFill/>
              <a:ln w="19050">
                <a:noFill/>
              </a:ln>
              <a:effectLst/>
            </c:spPr>
            <c:extLst>
              <c:ext xmlns:c16="http://schemas.microsoft.com/office/drawing/2014/chart" uri="{C3380CC4-5D6E-409C-BE32-E72D297353CC}">
                <c16:uniqueId val="{00000008-F277-465B-A5F8-6786EB7625BB}"/>
              </c:ext>
            </c:extLst>
          </c:dPt>
          <c:dPt>
            <c:idx val="1"/>
            <c:bubble3D val="0"/>
            <c:spPr>
              <a:solidFill>
                <a:srgbClr val="FF000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F277-465B-A5F8-6786EB7625BB}"/>
              </c:ext>
            </c:extLst>
          </c:dPt>
          <c:dPt>
            <c:idx val="2"/>
            <c:bubble3D val="0"/>
            <c:spPr>
              <a:noFill/>
              <a:ln w="19050">
                <a:noFill/>
              </a:ln>
              <a:effectLst/>
            </c:spPr>
            <c:extLst>
              <c:ext xmlns:c16="http://schemas.microsoft.com/office/drawing/2014/chart" uri="{C3380CC4-5D6E-409C-BE32-E72D297353CC}">
                <c16:uniqueId val="{0000000C-F277-465B-A5F8-6786EB7625BB}"/>
              </c:ext>
            </c:extLst>
          </c:dPt>
          <c:cat>
            <c:strRef>
              <c:f>Chart!$D$45:$D$47</c:f>
              <c:strCache>
                <c:ptCount val="3"/>
                <c:pt idx="0">
                  <c:v>PStart</c:v>
                </c:pt>
                <c:pt idx="1">
                  <c:v>Pointer</c:v>
                </c:pt>
                <c:pt idx="2">
                  <c:v>PEnd</c:v>
                </c:pt>
              </c:strCache>
            </c:strRef>
          </c:cat>
          <c:val>
            <c:numRef>
              <c:f>Chart!$H$56:$H$58</c:f>
              <c:numCache>
                <c:formatCode>#,##0_);[Red]\(#,##0\)</c:formatCode>
                <c:ptCount val="3"/>
                <c:pt idx="0">
                  <c:v>137.33500000000001</c:v>
                </c:pt>
                <c:pt idx="1">
                  <c:v>3.33</c:v>
                </c:pt>
                <c:pt idx="2">
                  <c:v>303.33499999999998</c:v>
                </c:pt>
              </c:numCache>
            </c:numRef>
          </c:val>
          <c:extLst>
            <c:ext xmlns:c16="http://schemas.microsoft.com/office/drawing/2014/chart" uri="{C3380CC4-5D6E-409C-BE32-E72D297353CC}">
              <c16:uniqueId val="{0000000D-F277-465B-A5F8-6786EB7625BB}"/>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1.xml"/><Relationship Id="rId18" Type="http://schemas.openxmlformats.org/officeDocument/2006/relationships/chart" Target="../charts/chart16.xml"/><Relationship Id="rId26" Type="http://schemas.openxmlformats.org/officeDocument/2006/relationships/chart" Target="../charts/chart23.xml"/><Relationship Id="rId39" Type="http://schemas.openxmlformats.org/officeDocument/2006/relationships/chart" Target="../charts/chart34.xml"/><Relationship Id="rId21" Type="http://schemas.openxmlformats.org/officeDocument/2006/relationships/chart" Target="../charts/chart18.xml"/><Relationship Id="rId34" Type="http://schemas.openxmlformats.org/officeDocument/2006/relationships/chart" Target="../charts/chart30.xml"/><Relationship Id="rId42" Type="http://schemas.openxmlformats.org/officeDocument/2006/relationships/chart" Target="../charts/chart37.xml"/><Relationship Id="rId47" Type="http://schemas.openxmlformats.org/officeDocument/2006/relationships/chart" Target="../charts/chart41.xml"/><Relationship Id="rId50" Type="http://schemas.openxmlformats.org/officeDocument/2006/relationships/chart" Target="../charts/chart44.xml"/><Relationship Id="rId55" Type="http://schemas.openxmlformats.org/officeDocument/2006/relationships/image" Target="../media/image7.emf"/><Relationship Id="rId7" Type="http://schemas.openxmlformats.org/officeDocument/2006/relationships/chart" Target="../charts/chart6.xml"/><Relationship Id="rId2" Type="http://schemas.openxmlformats.org/officeDocument/2006/relationships/chart" Target="../charts/chart1.xml"/><Relationship Id="rId16" Type="http://schemas.openxmlformats.org/officeDocument/2006/relationships/chart" Target="../charts/chart14.xml"/><Relationship Id="rId29" Type="http://schemas.openxmlformats.org/officeDocument/2006/relationships/chart" Target="../charts/chart25.xml"/><Relationship Id="rId11" Type="http://schemas.openxmlformats.org/officeDocument/2006/relationships/chart" Target="../charts/chart9.xml"/><Relationship Id="rId24" Type="http://schemas.openxmlformats.org/officeDocument/2006/relationships/chart" Target="../charts/chart21.xml"/><Relationship Id="rId32" Type="http://schemas.openxmlformats.org/officeDocument/2006/relationships/chart" Target="../charts/chart28.xml"/><Relationship Id="rId37" Type="http://schemas.openxmlformats.org/officeDocument/2006/relationships/image" Target="../media/image5.emf"/><Relationship Id="rId40" Type="http://schemas.openxmlformats.org/officeDocument/2006/relationships/chart" Target="../charts/chart35.xml"/><Relationship Id="rId45" Type="http://schemas.openxmlformats.org/officeDocument/2006/relationships/chart" Target="../charts/chart40.xml"/><Relationship Id="rId53" Type="http://schemas.openxmlformats.org/officeDocument/2006/relationships/chart" Target="../charts/chart47.xml"/><Relationship Id="rId5" Type="http://schemas.openxmlformats.org/officeDocument/2006/relationships/chart" Target="../charts/chart4.xml"/><Relationship Id="rId10" Type="http://schemas.openxmlformats.org/officeDocument/2006/relationships/image" Target="../media/image2.emf"/><Relationship Id="rId19" Type="http://schemas.openxmlformats.org/officeDocument/2006/relationships/image" Target="../media/image3.emf"/><Relationship Id="rId31" Type="http://schemas.openxmlformats.org/officeDocument/2006/relationships/chart" Target="../charts/chart27.xml"/><Relationship Id="rId44" Type="http://schemas.openxmlformats.org/officeDocument/2006/relationships/chart" Target="../charts/chart39.xml"/><Relationship Id="rId52" Type="http://schemas.openxmlformats.org/officeDocument/2006/relationships/chart" Target="../charts/chart46.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2.xml"/><Relationship Id="rId22" Type="http://schemas.openxmlformats.org/officeDocument/2006/relationships/chart" Target="../charts/chart19.xml"/><Relationship Id="rId27" Type="http://schemas.openxmlformats.org/officeDocument/2006/relationships/chart" Target="../charts/chart24.xml"/><Relationship Id="rId30" Type="http://schemas.openxmlformats.org/officeDocument/2006/relationships/chart" Target="../charts/chart26.xml"/><Relationship Id="rId35" Type="http://schemas.openxmlformats.org/officeDocument/2006/relationships/chart" Target="../charts/chart31.xml"/><Relationship Id="rId43" Type="http://schemas.openxmlformats.org/officeDocument/2006/relationships/chart" Target="../charts/chart38.xml"/><Relationship Id="rId48" Type="http://schemas.openxmlformats.org/officeDocument/2006/relationships/chart" Target="../charts/chart42.xml"/><Relationship Id="rId8" Type="http://schemas.openxmlformats.org/officeDocument/2006/relationships/chart" Target="../charts/chart7.xml"/><Relationship Id="rId51" Type="http://schemas.openxmlformats.org/officeDocument/2006/relationships/chart" Target="../charts/chart45.xml"/><Relationship Id="rId3" Type="http://schemas.openxmlformats.org/officeDocument/2006/relationships/chart" Target="../charts/chart2.xml"/><Relationship Id="rId12" Type="http://schemas.openxmlformats.org/officeDocument/2006/relationships/chart" Target="../charts/chart10.xml"/><Relationship Id="rId17" Type="http://schemas.openxmlformats.org/officeDocument/2006/relationships/chart" Target="../charts/chart15.xml"/><Relationship Id="rId25" Type="http://schemas.openxmlformats.org/officeDocument/2006/relationships/chart" Target="../charts/chart22.xml"/><Relationship Id="rId33" Type="http://schemas.openxmlformats.org/officeDocument/2006/relationships/chart" Target="../charts/chart29.xml"/><Relationship Id="rId38" Type="http://schemas.openxmlformats.org/officeDocument/2006/relationships/chart" Target="../charts/chart33.xml"/><Relationship Id="rId46" Type="http://schemas.openxmlformats.org/officeDocument/2006/relationships/image" Target="../media/image6.emf"/><Relationship Id="rId20" Type="http://schemas.openxmlformats.org/officeDocument/2006/relationships/chart" Target="../charts/chart17.xml"/><Relationship Id="rId41" Type="http://schemas.openxmlformats.org/officeDocument/2006/relationships/chart" Target="../charts/chart36.xml"/><Relationship Id="rId54" Type="http://schemas.openxmlformats.org/officeDocument/2006/relationships/chart" Target="../charts/chart48.xml"/><Relationship Id="rId1" Type="http://schemas.openxmlformats.org/officeDocument/2006/relationships/image" Target="../media/image1.jpeg"/><Relationship Id="rId6" Type="http://schemas.openxmlformats.org/officeDocument/2006/relationships/chart" Target="../charts/chart5.xml"/><Relationship Id="rId15" Type="http://schemas.openxmlformats.org/officeDocument/2006/relationships/chart" Target="../charts/chart13.xml"/><Relationship Id="rId23" Type="http://schemas.openxmlformats.org/officeDocument/2006/relationships/chart" Target="../charts/chart20.xml"/><Relationship Id="rId28" Type="http://schemas.openxmlformats.org/officeDocument/2006/relationships/image" Target="../media/image4.emf"/><Relationship Id="rId36" Type="http://schemas.openxmlformats.org/officeDocument/2006/relationships/chart" Target="../charts/chart32.xml"/><Relationship Id="rId49" Type="http://schemas.openxmlformats.org/officeDocument/2006/relationships/chart" Target="../charts/chart4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5.xml"/><Relationship Id="rId3" Type="http://schemas.openxmlformats.org/officeDocument/2006/relationships/chart" Target="../charts/chart50.xml"/><Relationship Id="rId7" Type="http://schemas.openxmlformats.org/officeDocument/2006/relationships/chart" Target="../charts/chart54.xml"/><Relationship Id="rId2" Type="http://schemas.openxmlformats.org/officeDocument/2006/relationships/chart" Target="../charts/chart49.xml"/><Relationship Id="rId1" Type="http://schemas.openxmlformats.org/officeDocument/2006/relationships/image" Target="../media/image1.jpeg"/><Relationship Id="rId6" Type="http://schemas.openxmlformats.org/officeDocument/2006/relationships/chart" Target="../charts/chart53.xml"/><Relationship Id="rId5" Type="http://schemas.openxmlformats.org/officeDocument/2006/relationships/chart" Target="../charts/chart52.xml"/><Relationship Id="rId4" Type="http://schemas.openxmlformats.org/officeDocument/2006/relationships/chart" Target="../charts/chart51.xml"/><Relationship Id="rId9" Type="http://schemas.openxmlformats.org/officeDocument/2006/relationships/chart" Target="../charts/chart5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14</xdr:col>
      <xdr:colOff>771526</xdr:colOff>
      <xdr:row>0</xdr:row>
      <xdr:rowOff>87085</xdr:rowOff>
    </xdr:from>
    <xdr:to>
      <xdr:col>16</xdr:col>
      <xdr:colOff>771526</xdr:colOff>
      <xdr:row>1</xdr:row>
      <xdr:rowOff>55633</xdr:rowOff>
    </xdr:to>
    <xdr:pic>
      <xdr:nvPicPr>
        <xdr:cNvPr id="52" name="Picture 51" descr="https://cdn2.webdamdb.com/220th_sm_Qpttv3El7Am7.jpg?1573762987">
          <a:extLst>
            <a:ext uri="{FF2B5EF4-FFF2-40B4-BE49-F238E27FC236}">
              <a16:creationId xmlns:a16="http://schemas.microsoft.com/office/drawing/2014/main" id="{A8635217-AA6C-4249-840A-1514151738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71347" y="87085"/>
          <a:ext cx="1687286" cy="485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631918</xdr:colOff>
      <xdr:row>1</xdr:row>
      <xdr:rowOff>91015</xdr:rowOff>
    </xdr:from>
    <xdr:to>
      <xdr:col>16</xdr:col>
      <xdr:colOff>730157</xdr:colOff>
      <xdr:row>5</xdr:row>
      <xdr:rowOff>15026</xdr:rowOff>
    </xdr:to>
    <xdr:grpSp>
      <xdr:nvGrpSpPr>
        <xdr:cNvPr id="2" name="Group 1">
          <a:extLst>
            <a:ext uri="{FF2B5EF4-FFF2-40B4-BE49-F238E27FC236}">
              <a16:creationId xmlns:a16="http://schemas.microsoft.com/office/drawing/2014/main" id="{3FC12942-5568-4994-904B-87602E01862D}"/>
            </a:ext>
          </a:extLst>
        </xdr:cNvPr>
        <xdr:cNvGrpSpPr/>
      </xdr:nvGrpSpPr>
      <xdr:grpSpPr>
        <a:xfrm>
          <a:off x="633505" y="610127"/>
          <a:ext cx="17943855" cy="584411"/>
          <a:chOff x="631918" y="556683"/>
          <a:chExt cx="16724656" cy="601345"/>
        </a:xfrm>
      </xdr:grpSpPr>
      <xdr:sp macro="" textlink="">
        <xdr:nvSpPr>
          <xdr:cNvPr id="72" name="Rounded Rectangle 117">
            <a:extLst>
              <a:ext uri="{FF2B5EF4-FFF2-40B4-BE49-F238E27FC236}">
                <a16:creationId xmlns:a16="http://schemas.microsoft.com/office/drawing/2014/main" id="{B4A59521-5B2B-46FF-93CF-65A1EDD6206F}"/>
              </a:ext>
            </a:extLst>
          </xdr:cNvPr>
          <xdr:cNvSpPr/>
        </xdr:nvSpPr>
        <xdr:spPr>
          <a:xfrm>
            <a:off x="755211" y="556683"/>
            <a:ext cx="3741952" cy="272204"/>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Baseline</a:t>
            </a:r>
          </a:p>
        </xdr:txBody>
      </xdr:sp>
      <xdr:sp macro="" textlink="">
        <xdr:nvSpPr>
          <xdr:cNvPr id="73" name="Rounded Rectangle 119">
            <a:extLst>
              <a:ext uri="{FF2B5EF4-FFF2-40B4-BE49-F238E27FC236}">
                <a16:creationId xmlns:a16="http://schemas.microsoft.com/office/drawing/2014/main" id="{ABA492A7-BDDE-4870-AABA-239D26ACED6A}"/>
              </a:ext>
            </a:extLst>
          </xdr:cNvPr>
          <xdr:cNvSpPr/>
        </xdr:nvSpPr>
        <xdr:spPr>
          <a:xfrm>
            <a:off x="631918" y="885825"/>
            <a:ext cx="1873093" cy="272203"/>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74" name="Rounded Rectangle 120">
            <a:extLst>
              <a:ext uri="{FF2B5EF4-FFF2-40B4-BE49-F238E27FC236}">
                <a16:creationId xmlns:a16="http://schemas.microsoft.com/office/drawing/2014/main" id="{5E26A6A0-6E57-4837-9ED8-8F17522E8D0C}"/>
              </a:ext>
            </a:extLst>
          </xdr:cNvPr>
          <xdr:cNvSpPr/>
        </xdr:nvSpPr>
        <xdr:spPr>
          <a:xfrm>
            <a:off x="2759013" y="885825"/>
            <a:ext cx="1868860" cy="272203"/>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75" name="Rounded Rectangle 121">
            <a:extLst>
              <a:ext uri="{FF2B5EF4-FFF2-40B4-BE49-F238E27FC236}">
                <a16:creationId xmlns:a16="http://schemas.microsoft.com/office/drawing/2014/main" id="{F52C7F7D-C7AA-4592-96CA-2BE8601442A9}"/>
              </a:ext>
            </a:extLst>
          </xdr:cNvPr>
          <xdr:cNvSpPr/>
        </xdr:nvSpPr>
        <xdr:spPr>
          <a:xfrm>
            <a:off x="5005166" y="556683"/>
            <a:ext cx="3739836" cy="272204"/>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Ramp Up</a:t>
            </a:r>
          </a:p>
        </xdr:txBody>
      </xdr:sp>
      <xdr:sp macro="" textlink="">
        <xdr:nvSpPr>
          <xdr:cNvPr id="76" name="Rounded Rectangle 122">
            <a:extLst>
              <a:ext uri="{FF2B5EF4-FFF2-40B4-BE49-F238E27FC236}">
                <a16:creationId xmlns:a16="http://schemas.microsoft.com/office/drawing/2014/main" id="{C1FEE1B8-989E-4674-9118-D07187B2CE82}"/>
              </a:ext>
            </a:extLst>
          </xdr:cNvPr>
          <xdr:cNvSpPr/>
        </xdr:nvSpPr>
        <xdr:spPr>
          <a:xfrm>
            <a:off x="4881874" y="885825"/>
            <a:ext cx="1873094" cy="272203"/>
          </a:xfrm>
          <a:prstGeom prst="round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77" name="Rounded Rectangle 123">
            <a:extLst>
              <a:ext uri="{FF2B5EF4-FFF2-40B4-BE49-F238E27FC236}">
                <a16:creationId xmlns:a16="http://schemas.microsoft.com/office/drawing/2014/main" id="{84A940BE-5BFF-442A-99D7-ACEB1CEF4542}"/>
              </a:ext>
            </a:extLst>
          </xdr:cNvPr>
          <xdr:cNvSpPr/>
        </xdr:nvSpPr>
        <xdr:spPr>
          <a:xfrm>
            <a:off x="7008969" y="885825"/>
            <a:ext cx="1866743" cy="272203"/>
          </a:xfrm>
          <a:prstGeom prst="roundRect">
            <a:avLst/>
          </a:prstGeom>
          <a:solidFill>
            <a:schemeClr val="accent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78" name="Rounded Rectangle 131">
            <a:extLst>
              <a:ext uri="{FF2B5EF4-FFF2-40B4-BE49-F238E27FC236}">
                <a16:creationId xmlns:a16="http://schemas.microsoft.com/office/drawing/2014/main" id="{0B39540E-0489-4E7B-8C8D-A11080BCE1A7}"/>
              </a:ext>
            </a:extLst>
          </xdr:cNvPr>
          <xdr:cNvSpPr/>
        </xdr:nvSpPr>
        <xdr:spPr>
          <a:xfrm>
            <a:off x="9251948" y="556683"/>
            <a:ext cx="3733485" cy="272204"/>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Surge</a:t>
            </a:r>
          </a:p>
        </xdr:txBody>
      </xdr:sp>
      <xdr:sp macro="" textlink="">
        <xdr:nvSpPr>
          <xdr:cNvPr id="79" name="Rounded Rectangle 132">
            <a:extLst>
              <a:ext uri="{FF2B5EF4-FFF2-40B4-BE49-F238E27FC236}">
                <a16:creationId xmlns:a16="http://schemas.microsoft.com/office/drawing/2014/main" id="{F133AE84-DFA8-4861-BE5B-16CAC37E167F}"/>
              </a:ext>
            </a:extLst>
          </xdr:cNvPr>
          <xdr:cNvSpPr/>
        </xdr:nvSpPr>
        <xdr:spPr>
          <a:xfrm>
            <a:off x="9128655" y="885825"/>
            <a:ext cx="1866743" cy="272203"/>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80" name="Rounded Rectangle 133">
            <a:extLst>
              <a:ext uri="{FF2B5EF4-FFF2-40B4-BE49-F238E27FC236}">
                <a16:creationId xmlns:a16="http://schemas.microsoft.com/office/drawing/2014/main" id="{FF701190-6358-4AB6-9F0A-21182829CCFC}"/>
              </a:ext>
            </a:extLst>
          </xdr:cNvPr>
          <xdr:cNvSpPr/>
        </xdr:nvSpPr>
        <xdr:spPr>
          <a:xfrm>
            <a:off x="11249400" y="885825"/>
            <a:ext cx="1866743" cy="272203"/>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81" name="Rounded Rectangle 135">
            <a:extLst>
              <a:ext uri="{FF2B5EF4-FFF2-40B4-BE49-F238E27FC236}">
                <a16:creationId xmlns:a16="http://schemas.microsoft.com/office/drawing/2014/main" id="{33F7066E-4E46-4F40-A92D-6E91BF099F9F}"/>
              </a:ext>
            </a:extLst>
          </xdr:cNvPr>
          <xdr:cNvSpPr/>
        </xdr:nvSpPr>
        <xdr:spPr>
          <a:xfrm>
            <a:off x="13492378" y="556683"/>
            <a:ext cx="3733486" cy="272204"/>
          </a:xfrm>
          <a:prstGeom prst="roundRect">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Surge + Next Up</a:t>
            </a:r>
          </a:p>
        </xdr:txBody>
      </xdr:sp>
      <xdr:sp macro="" textlink="">
        <xdr:nvSpPr>
          <xdr:cNvPr id="82" name="Rounded Rectangle 136">
            <a:extLst>
              <a:ext uri="{FF2B5EF4-FFF2-40B4-BE49-F238E27FC236}">
                <a16:creationId xmlns:a16="http://schemas.microsoft.com/office/drawing/2014/main" id="{E4474002-9A35-4E7A-8F2D-F05310A18C8F}"/>
              </a:ext>
            </a:extLst>
          </xdr:cNvPr>
          <xdr:cNvSpPr/>
        </xdr:nvSpPr>
        <xdr:spPr>
          <a:xfrm>
            <a:off x="13369086" y="885825"/>
            <a:ext cx="1866743" cy="272203"/>
          </a:xfrm>
          <a:prstGeom prst="roundRect">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83" name="Rounded Rectangle 137">
            <a:extLst>
              <a:ext uri="{FF2B5EF4-FFF2-40B4-BE49-F238E27FC236}">
                <a16:creationId xmlns:a16="http://schemas.microsoft.com/office/drawing/2014/main" id="{7EB9459D-6579-43E8-964A-54CBC2D48945}"/>
              </a:ext>
            </a:extLst>
          </xdr:cNvPr>
          <xdr:cNvSpPr/>
        </xdr:nvSpPr>
        <xdr:spPr>
          <a:xfrm>
            <a:off x="15489830" y="885825"/>
            <a:ext cx="1866744" cy="272203"/>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grpSp>
    <xdr:clientData/>
  </xdr:twoCellAnchor>
  <xdr:twoCellAnchor editAs="oneCell">
    <xdr:from>
      <xdr:col>0</xdr:col>
      <xdr:colOff>63499</xdr:colOff>
      <xdr:row>5</xdr:row>
      <xdr:rowOff>88810</xdr:rowOff>
    </xdr:from>
    <xdr:to>
      <xdr:col>17</xdr:col>
      <xdr:colOff>5291</xdr:colOff>
      <xdr:row>8</xdr:row>
      <xdr:rowOff>129450</xdr:rowOff>
    </xdr:to>
    <mc:AlternateContent xmlns:mc="http://schemas.openxmlformats.org/markup-compatibility/2006" xmlns:a14="http://schemas.microsoft.com/office/drawing/2010/main">
      <mc:Choice Requires="a14">
        <xdr:graphicFrame macro="">
          <xdr:nvGraphicFramePr>
            <xdr:cNvPr id="261" name="Facility 3">
              <a:extLst>
                <a:ext uri="{FF2B5EF4-FFF2-40B4-BE49-F238E27FC236}">
                  <a16:creationId xmlns:a16="http://schemas.microsoft.com/office/drawing/2014/main" id="{B1F8ECC9-911A-412D-9B2D-A7389F48AE5B}"/>
                </a:ext>
              </a:extLst>
            </xdr:cNvPr>
            <xdr:cNvGraphicFramePr/>
          </xdr:nvGraphicFramePr>
          <xdr:xfrm>
            <a:off x="0" y="0"/>
            <a:ext cx="0" cy="0"/>
          </xdr:xfrm>
          <a:graphic>
            <a:graphicData uri="http://schemas.microsoft.com/office/drawing/2010/slicer">
              <sle:slicer xmlns:sle="http://schemas.microsoft.com/office/drawing/2010/slicer" name="Facility 3"/>
            </a:graphicData>
          </a:graphic>
        </xdr:graphicFrame>
      </mc:Choice>
      <mc:Fallback xmlns="">
        <xdr:sp macro="" textlink="">
          <xdr:nvSpPr>
            <xdr:cNvPr id="0" name=""/>
            <xdr:cNvSpPr>
              <a:spLocks noTextEdit="1"/>
            </xdr:cNvSpPr>
          </xdr:nvSpPr>
          <xdr:spPr>
            <a:xfrm>
              <a:off x="63499" y="1313453"/>
              <a:ext cx="17372542" cy="571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9525</xdr:colOff>
      <xdr:row>19</xdr:row>
      <xdr:rowOff>141061</xdr:rowOff>
    </xdr:from>
    <xdr:to>
      <xdr:col>17</xdr:col>
      <xdr:colOff>104775</xdr:colOff>
      <xdr:row>34</xdr:row>
      <xdr:rowOff>114603</xdr:rowOff>
    </xdr:to>
    <xdr:grpSp>
      <xdr:nvGrpSpPr>
        <xdr:cNvPr id="6" name="Group 5">
          <a:extLst>
            <a:ext uri="{FF2B5EF4-FFF2-40B4-BE49-F238E27FC236}">
              <a16:creationId xmlns:a16="http://schemas.microsoft.com/office/drawing/2014/main" id="{08BDBD88-B20D-45E1-BB0F-74CC8C514D9A}"/>
            </a:ext>
          </a:extLst>
        </xdr:cNvPr>
        <xdr:cNvGrpSpPr/>
      </xdr:nvGrpSpPr>
      <xdr:grpSpPr>
        <a:xfrm>
          <a:off x="8467" y="3634619"/>
          <a:ext cx="18855266" cy="2448984"/>
          <a:chOff x="9525" y="3741511"/>
          <a:chExt cx="17573625" cy="2545292"/>
        </a:xfrm>
      </xdr:grpSpPr>
      <xdr:grpSp>
        <xdr:nvGrpSpPr>
          <xdr:cNvPr id="5" name="Group 4">
            <a:extLst>
              <a:ext uri="{FF2B5EF4-FFF2-40B4-BE49-F238E27FC236}">
                <a16:creationId xmlns:a16="http://schemas.microsoft.com/office/drawing/2014/main" id="{EE557B7B-AF5B-41FA-BC78-2C16B34E94DA}"/>
              </a:ext>
            </a:extLst>
          </xdr:cNvPr>
          <xdr:cNvGrpSpPr/>
        </xdr:nvGrpSpPr>
        <xdr:grpSpPr>
          <a:xfrm>
            <a:off x="9525" y="3741511"/>
            <a:ext cx="17573625" cy="2545292"/>
            <a:chOff x="9525" y="3741511"/>
            <a:chExt cx="17573625" cy="2545292"/>
          </a:xfrm>
        </xdr:grpSpPr>
        <xdr:sp macro="" textlink="">
          <xdr:nvSpPr>
            <xdr:cNvPr id="302" name="Rectangle: Rounded Corners 301">
              <a:extLst>
                <a:ext uri="{FF2B5EF4-FFF2-40B4-BE49-F238E27FC236}">
                  <a16:creationId xmlns:a16="http://schemas.microsoft.com/office/drawing/2014/main" id="{D27156AB-B864-4F1C-BEE2-5D5FD10394D8}"/>
                </a:ext>
              </a:extLst>
            </xdr:cNvPr>
            <xdr:cNvSpPr/>
          </xdr:nvSpPr>
          <xdr:spPr>
            <a:xfrm>
              <a:off x="9525" y="3741511"/>
              <a:ext cx="17573625" cy="1868454"/>
            </a:xfrm>
            <a:prstGeom prst="roundRect">
              <a:avLst/>
            </a:prstGeom>
            <a:solidFill>
              <a:schemeClr val="bg1"/>
            </a:solidFill>
            <a:ln w="28575">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03" name="Group 302">
              <a:extLst>
                <a:ext uri="{FF2B5EF4-FFF2-40B4-BE49-F238E27FC236}">
                  <a16:creationId xmlns:a16="http://schemas.microsoft.com/office/drawing/2014/main" id="{AFB9ADFA-0C17-4B96-B5D9-B6D0BCA03B87}"/>
                </a:ext>
              </a:extLst>
            </xdr:cNvPr>
            <xdr:cNvGrpSpPr/>
          </xdr:nvGrpSpPr>
          <xdr:grpSpPr>
            <a:xfrm>
              <a:off x="542925" y="3789176"/>
              <a:ext cx="16906875" cy="2497627"/>
              <a:chOff x="542925" y="1362075"/>
              <a:chExt cx="16906875" cy="2554605"/>
            </a:xfrm>
          </xdr:grpSpPr>
          <xdr:graphicFrame macro="">
            <xdr:nvGraphicFramePr>
              <xdr:cNvPr id="305" name="Chart 304">
                <a:extLst>
                  <a:ext uri="{FF2B5EF4-FFF2-40B4-BE49-F238E27FC236}">
                    <a16:creationId xmlns:a16="http://schemas.microsoft.com/office/drawing/2014/main" id="{BCDB9055-5069-4F70-897B-4D4950A39CA4}"/>
                  </a:ext>
                </a:extLst>
              </xdr:cNvPr>
              <xdr:cNvGraphicFramePr>
                <a:graphicFrameLocks/>
              </xdr:cNvGraphicFramePr>
            </xdr:nvGraphicFramePr>
            <xdr:xfrm>
              <a:off x="542925" y="1447800"/>
              <a:ext cx="2046846" cy="246888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06" name="Chart 305">
                <a:extLst>
                  <a:ext uri="{FF2B5EF4-FFF2-40B4-BE49-F238E27FC236}">
                    <a16:creationId xmlns:a16="http://schemas.microsoft.com/office/drawing/2014/main" id="{F592167A-073A-42D6-8B3F-DE1807A0766D}"/>
                  </a:ext>
                </a:extLst>
              </xdr:cNvPr>
              <xdr:cNvGraphicFramePr>
                <a:graphicFrameLocks/>
              </xdr:cNvGraphicFramePr>
            </xdr:nvGraphicFramePr>
            <xdr:xfrm>
              <a:off x="2665786" y="1447800"/>
              <a:ext cx="2046846" cy="246888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07" name="Chart 306">
                <a:extLst>
                  <a:ext uri="{FF2B5EF4-FFF2-40B4-BE49-F238E27FC236}">
                    <a16:creationId xmlns:a16="http://schemas.microsoft.com/office/drawing/2014/main" id="{A8EE4060-8E7E-4F79-97AC-4641A0A3D9B0}"/>
                  </a:ext>
                </a:extLst>
              </xdr:cNvPr>
              <xdr:cNvGraphicFramePr>
                <a:graphicFrameLocks/>
              </xdr:cNvGraphicFramePr>
            </xdr:nvGraphicFramePr>
            <xdr:xfrm>
              <a:off x="4788648" y="1447800"/>
              <a:ext cx="2046846" cy="246888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08" name="Chart 307">
                <a:extLst>
                  <a:ext uri="{FF2B5EF4-FFF2-40B4-BE49-F238E27FC236}">
                    <a16:creationId xmlns:a16="http://schemas.microsoft.com/office/drawing/2014/main" id="{97DAB1CB-B20A-40EB-B294-B7D908769F02}"/>
                  </a:ext>
                </a:extLst>
              </xdr:cNvPr>
              <xdr:cNvGraphicFramePr>
                <a:graphicFrameLocks/>
              </xdr:cNvGraphicFramePr>
            </xdr:nvGraphicFramePr>
            <xdr:xfrm>
              <a:off x="6911509" y="1447800"/>
              <a:ext cx="2046846" cy="246888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09" name="Chart 308">
                <a:extLst>
                  <a:ext uri="{FF2B5EF4-FFF2-40B4-BE49-F238E27FC236}">
                    <a16:creationId xmlns:a16="http://schemas.microsoft.com/office/drawing/2014/main" id="{8099C97E-2CED-493E-AC5D-14A201AF7B64}"/>
                  </a:ext>
                </a:extLst>
              </xdr:cNvPr>
              <xdr:cNvGraphicFramePr>
                <a:graphicFrameLocks/>
              </xdr:cNvGraphicFramePr>
            </xdr:nvGraphicFramePr>
            <xdr:xfrm>
              <a:off x="9034370" y="1447800"/>
              <a:ext cx="2046846" cy="246888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10" name="Chart 309">
                <a:extLst>
                  <a:ext uri="{FF2B5EF4-FFF2-40B4-BE49-F238E27FC236}">
                    <a16:creationId xmlns:a16="http://schemas.microsoft.com/office/drawing/2014/main" id="{95145621-8D77-411B-BC55-02055AC60F12}"/>
                  </a:ext>
                </a:extLst>
              </xdr:cNvPr>
              <xdr:cNvGraphicFramePr>
                <a:graphicFrameLocks/>
              </xdr:cNvGraphicFramePr>
            </xdr:nvGraphicFramePr>
            <xdr:xfrm>
              <a:off x="11157231" y="1447800"/>
              <a:ext cx="2046846" cy="246888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11" name="Chart 310">
                <a:extLst>
                  <a:ext uri="{FF2B5EF4-FFF2-40B4-BE49-F238E27FC236}">
                    <a16:creationId xmlns:a16="http://schemas.microsoft.com/office/drawing/2014/main" id="{44AB3079-E292-432F-9051-0C4EE5303A02}"/>
                  </a:ext>
                </a:extLst>
              </xdr:cNvPr>
              <xdr:cNvGraphicFramePr>
                <a:graphicFrameLocks/>
              </xdr:cNvGraphicFramePr>
            </xdr:nvGraphicFramePr>
            <xdr:xfrm>
              <a:off x="13280093" y="1447800"/>
              <a:ext cx="2046846" cy="246888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12" name="Chart 311">
                <a:extLst>
                  <a:ext uri="{FF2B5EF4-FFF2-40B4-BE49-F238E27FC236}">
                    <a16:creationId xmlns:a16="http://schemas.microsoft.com/office/drawing/2014/main" id="{539FABEF-0D8D-4DE5-A667-3951C35916A1}"/>
                  </a:ext>
                </a:extLst>
              </xdr:cNvPr>
              <xdr:cNvGraphicFramePr>
                <a:graphicFrameLocks/>
              </xdr:cNvGraphicFramePr>
            </xdr:nvGraphicFramePr>
            <xdr:xfrm>
              <a:off x="15402954" y="1447800"/>
              <a:ext cx="2046846" cy="2468880"/>
            </xdr:xfrm>
            <a:graphic>
              <a:graphicData uri="http://schemas.openxmlformats.org/drawingml/2006/chart">
                <c:chart xmlns:c="http://schemas.openxmlformats.org/drawingml/2006/chart" xmlns:r="http://schemas.openxmlformats.org/officeDocument/2006/relationships" r:id="rId9"/>
              </a:graphicData>
            </a:graphic>
          </xdr:graphicFrame>
          <xdr:sp macro="" textlink="Chart!E94">
            <xdr:nvSpPr>
              <xdr:cNvPr id="313" name="Rounded Rectangle 140">
                <a:extLst>
                  <a:ext uri="{FF2B5EF4-FFF2-40B4-BE49-F238E27FC236}">
                    <a16:creationId xmlns:a16="http://schemas.microsoft.com/office/drawing/2014/main" id="{9E67A694-55B7-4280-BA47-E60877742E56}"/>
                  </a:ext>
                </a:extLst>
              </xdr:cNvPr>
              <xdr:cNvSpPr/>
            </xdr:nvSpPr>
            <xdr:spPr>
              <a:xfrm>
                <a:off x="1210375" y="1362075"/>
                <a:ext cx="711946" cy="22860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4A568FE-BADB-4A66-ABAB-99C3B3E130A2}" type="TxLink">
                  <a:rPr lang="en-US" sz="1400" b="1" i="0" u="none" strike="noStrike">
                    <a:solidFill>
                      <a:schemeClr val="bg1"/>
                    </a:solidFill>
                    <a:latin typeface="Century Gothic"/>
                  </a:rPr>
                  <a:pPr algn="ctr"/>
                  <a:t>16</a:t>
                </a:fld>
                <a:endParaRPr lang="en-US" sz="2400" b="1">
                  <a:solidFill>
                    <a:schemeClr val="bg1"/>
                  </a:solidFill>
                </a:endParaRPr>
              </a:p>
            </xdr:txBody>
          </xdr:sp>
          <xdr:sp macro="" textlink="Chart!E105">
            <xdr:nvSpPr>
              <xdr:cNvPr id="314" name="Rounded Rectangle 141">
                <a:extLst>
                  <a:ext uri="{FF2B5EF4-FFF2-40B4-BE49-F238E27FC236}">
                    <a16:creationId xmlns:a16="http://schemas.microsoft.com/office/drawing/2014/main" id="{18DB1ABE-1A79-4D7F-9B88-9122261BDFA6}"/>
                  </a:ext>
                </a:extLst>
              </xdr:cNvPr>
              <xdr:cNvSpPr/>
            </xdr:nvSpPr>
            <xdr:spPr>
              <a:xfrm>
                <a:off x="3333236" y="1362075"/>
                <a:ext cx="711946" cy="2286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85F0A19-F5E6-4154-83B2-84525888FF2B}" type="TxLink">
                  <a:rPr lang="en-US" sz="1400" b="1" i="0" u="none" strike="noStrike">
                    <a:solidFill>
                      <a:schemeClr val="bg1"/>
                    </a:solidFill>
                    <a:latin typeface="Century Gothic"/>
                  </a:rPr>
                  <a:pPr algn="ctr"/>
                  <a:t>59</a:t>
                </a:fld>
                <a:endParaRPr lang="en-US" sz="1400" b="1">
                  <a:solidFill>
                    <a:schemeClr val="bg1"/>
                  </a:solidFill>
                </a:endParaRPr>
              </a:p>
            </xdr:txBody>
          </xdr:sp>
          <xdr:sp macro="" textlink="Chart!E95">
            <xdr:nvSpPr>
              <xdr:cNvPr id="315" name="Rounded Rectangle 142">
                <a:extLst>
                  <a:ext uri="{FF2B5EF4-FFF2-40B4-BE49-F238E27FC236}">
                    <a16:creationId xmlns:a16="http://schemas.microsoft.com/office/drawing/2014/main" id="{C54E5831-CD77-4A1C-86A6-2559A16229B0}"/>
                  </a:ext>
                </a:extLst>
              </xdr:cNvPr>
              <xdr:cNvSpPr/>
            </xdr:nvSpPr>
            <xdr:spPr>
              <a:xfrm>
                <a:off x="552195" y="2771775"/>
                <a:ext cx="640080" cy="36576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AFCB12B-56A4-42E7-AACD-3A05EE94D9C7}" type="TxLink">
                  <a:rPr lang="en-US" sz="800" b="0" i="0" u="none" strike="noStrike">
                    <a:solidFill>
                      <a:schemeClr val="bg1"/>
                    </a:solidFill>
                    <a:latin typeface="Century Gothic"/>
                  </a:rPr>
                  <a:pPr algn="ctr"/>
                  <a:t>Max COVID 
40 - 40.0%</a:t>
                </a:fld>
                <a:endParaRPr lang="en-US" sz="800" b="0">
                  <a:solidFill>
                    <a:schemeClr val="bg1"/>
                  </a:solidFill>
                </a:endParaRPr>
              </a:p>
            </xdr:txBody>
          </xdr:sp>
          <xdr:sp macro="" textlink="Chart!E97">
            <xdr:nvSpPr>
              <xdr:cNvPr id="316" name="Rounded Rectangle 143">
                <a:extLst>
                  <a:ext uri="{FF2B5EF4-FFF2-40B4-BE49-F238E27FC236}">
                    <a16:creationId xmlns:a16="http://schemas.microsoft.com/office/drawing/2014/main" id="{B2702CCB-C901-4B11-91B1-59804EBC52AB}"/>
                  </a:ext>
                </a:extLst>
              </xdr:cNvPr>
              <xdr:cNvSpPr/>
            </xdr:nvSpPr>
            <xdr:spPr>
              <a:xfrm>
                <a:off x="1926214" y="2771775"/>
                <a:ext cx="658368"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DA561B2-E62B-4AA5-9089-B4F14C894A3B}" type="TxLink">
                  <a:rPr lang="en-US" sz="800" b="0" i="0" u="none" strike="noStrike">
                    <a:solidFill>
                      <a:schemeClr val="accent1">
                        <a:lumMod val="50000"/>
                      </a:schemeClr>
                    </a:solidFill>
                    <a:latin typeface="Century Gothic"/>
                  </a:rPr>
                  <a:pPr algn="ctr"/>
                  <a:t>All Beds
79 - 20.3%</a:t>
                </a:fld>
                <a:endParaRPr lang="en-US" sz="700" b="0">
                  <a:solidFill>
                    <a:schemeClr val="accent1">
                      <a:lumMod val="50000"/>
                    </a:schemeClr>
                  </a:solidFill>
                </a:endParaRPr>
              </a:p>
            </xdr:txBody>
          </xdr:sp>
          <xdr:sp macro="" textlink="Chart!E106">
            <xdr:nvSpPr>
              <xdr:cNvPr id="317" name="Rounded Rectangle 144">
                <a:extLst>
                  <a:ext uri="{FF2B5EF4-FFF2-40B4-BE49-F238E27FC236}">
                    <a16:creationId xmlns:a16="http://schemas.microsoft.com/office/drawing/2014/main" id="{03149253-86E7-4283-8623-CF1A1377E7E4}"/>
                  </a:ext>
                </a:extLst>
              </xdr:cNvPr>
              <xdr:cNvSpPr/>
            </xdr:nvSpPr>
            <xdr:spPr>
              <a:xfrm>
                <a:off x="2684327" y="2771775"/>
                <a:ext cx="640080" cy="36576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3C8974C-C596-414C-AB90-BA6ECF0A4376}" type="TxLink">
                  <a:rPr lang="en-US" sz="800" b="0" i="0" u="none" strike="noStrike">
                    <a:solidFill>
                      <a:schemeClr val="bg1">
                        <a:lumMod val="100000"/>
                      </a:schemeClr>
                    </a:solidFill>
                    <a:latin typeface="Century Gothic"/>
                  </a:rPr>
                  <a:pPr algn="ctr"/>
                  <a:t>Max COVID 
143 - 41.3%</a:t>
                </a:fld>
                <a:endParaRPr lang="en-US" sz="800" b="0">
                  <a:solidFill>
                    <a:schemeClr val="bg1">
                      <a:lumMod val="100000"/>
                    </a:schemeClr>
                  </a:solidFill>
                </a:endParaRPr>
              </a:p>
            </xdr:txBody>
          </xdr:sp>
          <xdr:sp macro="" textlink="Chart!E108">
            <xdr:nvSpPr>
              <xdr:cNvPr id="318" name="Rounded Rectangle 145">
                <a:extLst>
                  <a:ext uri="{FF2B5EF4-FFF2-40B4-BE49-F238E27FC236}">
                    <a16:creationId xmlns:a16="http://schemas.microsoft.com/office/drawing/2014/main" id="{71CA75A7-916A-461C-9C86-5063EB84B506}"/>
                  </a:ext>
                </a:extLst>
              </xdr:cNvPr>
              <xdr:cNvSpPr/>
            </xdr:nvSpPr>
            <xdr:spPr>
              <a:xfrm>
                <a:off x="4039296" y="2771775"/>
                <a:ext cx="658368" cy="365760"/>
              </a:xfrm>
              <a:prstGeom prst="roundRect">
                <a:avLst/>
              </a:prstGeom>
              <a:solidFill>
                <a:schemeClr val="bg1"/>
              </a:solidFill>
              <a:ln w="19050">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AC17147-B053-4609-8281-B18BFEDC46DC}" type="TxLink">
                  <a:rPr lang="en-US" sz="800" b="0" i="0" u="none" strike="noStrike">
                    <a:solidFill>
                      <a:schemeClr val="accent1"/>
                    </a:solidFill>
                    <a:latin typeface="Century Gothic"/>
                  </a:rPr>
                  <a:pPr algn="ctr"/>
                  <a:t>All Beds
222 - 26.6%</a:t>
                </a:fld>
                <a:endParaRPr lang="en-US" sz="800" b="0">
                  <a:solidFill>
                    <a:schemeClr val="accent1"/>
                  </a:solidFill>
                </a:endParaRPr>
              </a:p>
            </xdr:txBody>
          </xdr:sp>
          <xdr:sp macro="" textlink="Chart!E109">
            <xdr:nvSpPr>
              <xdr:cNvPr id="319" name="Rounded Rectangle 146">
                <a:extLst>
                  <a:ext uri="{FF2B5EF4-FFF2-40B4-BE49-F238E27FC236}">
                    <a16:creationId xmlns:a16="http://schemas.microsoft.com/office/drawing/2014/main" id="{8E2E99CA-A691-421A-858B-87D3330E7C47}"/>
                  </a:ext>
                </a:extLst>
              </xdr:cNvPr>
              <xdr:cNvSpPr/>
            </xdr:nvSpPr>
            <xdr:spPr>
              <a:xfrm>
                <a:off x="2130070" y="1362075"/>
                <a:ext cx="960120" cy="459205"/>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5BCE068-3184-43F3-9B99-008EA693B149}" type="TxLink">
                  <a:rPr lang="en-US" sz="1200" b="1" i="0" u="none" strike="noStrike">
                    <a:solidFill>
                      <a:schemeClr val="bg1"/>
                    </a:solidFill>
                    <a:latin typeface="Century Gothic"/>
                  </a:rPr>
                  <a:pPr algn="ctr"/>
                  <a:t>Total COVID
75</a:t>
                </a:fld>
                <a:endParaRPr lang="en-US" sz="1200" b="1">
                  <a:solidFill>
                    <a:schemeClr val="bg1"/>
                  </a:solidFill>
                </a:endParaRPr>
              </a:p>
            </xdr:txBody>
          </xdr:sp>
          <xdr:sp macro="" textlink="Chart!F95">
            <xdr:nvSpPr>
              <xdr:cNvPr id="320" name="Rounded Rectangle 147">
                <a:extLst>
                  <a:ext uri="{FF2B5EF4-FFF2-40B4-BE49-F238E27FC236}">
                    <a16:creationId xmlns:a16="http://schemas.microsoft.com/office/drawing/2014/main" id="{47E5A9A2-58A0-4224-A7BD-61F70CB56F2C}"/>
                  </a:ext>
                </a:extLst>
              </xdr:cNvPr>
              <xdr:cNvSpPr/>
            </xdr:nvSpPr>
            <xdr:spPr>
              <a:xfrm>
                <a:off x="4797918" y="2771775"/>
                <a:ext cx="640080" cy="36576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43DBF80-FC8C-4977-99D1-DCF62D48B61F}" type="TxLink">
                  <a:rPr lang="en-US" sz="800" b="0" i="0" u="none" strike="noStrike">
                    <a:solidFill>
                      <a:schemeClr val="bg1">
                        <a:lumMod val="100000"/>
                      </a:schemeClr>
                    </a:solidFill>
                    <a:latin typeface="Century Gothic"/>
                  </a:rPr>
                  <a:pPr algn="ctr"/>
                  <a:t>Max COVID 
40 - 40.0%</a:t>
                </a:fld>
                <a:endParaRPr lang="en-US" sz="800" b="0">
                  <a:solidFill>
                    <a:schemeClr val="bg1">
                      <a:lumMod val="100000"/>
                    </a:schemeClr>
                  </a:solidFill>
                </a:endParaRPr>
              </a:p>
            </xdr:txBody>
          </xdr:sp>
          <xdr:sp macro="" textlink="Chart!F97">
            <xdr:nvSpPr>
              <xdr:cNvPr id="321" name="Rounded Rectangle 148">
                <a:extLst>
                  <a:ext uri="{FF2B5EF4-FFF2-40B4-BE49-F238E27FC236}">
                    <a16:creationId xmlns:a16="http://schemas.microsoft.com/office/drawing/2014/main" id="{6AA9C021-5CD6-4762-AE62-A14D39DC8AE6}"/>
                  </a:ext>
                </a:extLst>
              </xdr:cNvPr>
              <xdr:cNvSpPr/>
            </xdr:nvSpPr>
            <xdr:spPr>
              <a:xfrm>
                <a:off x="6151955" y="2771775"/>
                <a:ext cx="658368" cy="365760"/>
              </a:xfrm>
              <a:prstGeom prst="roundRect">
                <a:avLst/>
              </a:prstGeom>
              <a:solidFill>
                <a:schemeClr val="bg1"/>
              </a:solidFill>
              <a:ln w="19050">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00D293D-5F06-4C88-A8F2-92918785117E}" type="TxLink">
                  <a:rPr lang="en-US" sz="800" b="0" i="0" u="none" strike="noStrike">
                    <a:solidFill>
                      <a:schemeClr val="accent5">
                        <a:lumMod val="50000"/>
                      </a:schemeClr>
                    </a:solidFill>
                    <a:latin typeface="Century Gothic"/>
                  </a:rPr>
                  <a:pPr algn="ctr"/>
                  <a:t>All Beds
79 - 20.3%</a:t>
                </a:fld>
                <a:endParaRPr lang="en-US" sz="800" b="0">
                  <a:solidFill>
                    <a:schemeClr val="accent5">
                      <a:lumMod val="50000"/>
                    </a:schemeClr>
                  </a:solidFill>
                </a:endParaRPr>
              </a:p>
            </xdr:txBody>
          </xdr:sp>
          <xdr:sp macro="" textlink="Chart!F106">
            <xdr:nvSpPr>
              <xdr:cNvPr id="322" name="Rounded Rectangle 149">
                <a:extLst>
                  <a:ext uri="{FF2B5EF4-FFF2-40B4-BE49-F238E27FC236}">
                    <a16:creationId xmlns:a16="http://schemas.microsoft.com/office/drawing/2014/main" id="{9DB16C4E-79D0-44B2-A451-2237EFF7ED26}"/>
                  </a:ext>
                </a:extLst>
              </xdr:cNvPr>
              <xdr:cNvSpPr/>
            </xdr:nvSpPr>
            <xdr:spPr>
              <a:xfrm>
                <a:off x="6920524" y="2771775"/>
                <a:ext cx="640080" cy="36576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89531ED-9D9A-4196-BEC3-F07F23E0F766}" type="TxLink">
                  <a:rPr lang="en-US" sz="800" b="0" i="0" u="none" strike="noStrike">
                    <a:solidFill>
                      <a:schemeClr val="bg1">
                        <a:lumMod val="100000"/>
                      </a:schemeClr>
                    </a:solidFill>
                    <a:latin typeface="Century Gothic"/>
                  </a:rPr>
                  <a:pPr algn="ctr"/>
                  <a:t>Max COVID 
143 - 62.2%</a:t>
                </a:fld>
                <a:endParaRPr lang="en-US" sz="800" b="0">
                  <a:solidFill>
                    <a:schemeClr val="bg1">
                      <a:lumMod val="100000"/>
                    </a:schemeClr>
                  </a:solidFill>
                </a:endParaRPr>
              </a:p>
            </xdr:txBody>
          </xdr:sp>
          <xdr:sp macro="" textlink="Chart!F108">
            <xdr:nvSpPr>
              <xdr:cNvPr id="323" name="Rounded Rectangle 150">
                <a:extLst>
                  <a:ext uri="{FF2B5EF4-FFF2-40B4-BE49-F238E27FC236}">
                    <a16:creationId xmlns:a16="http://schemas.microsoft.com/office/drawing/2014/main" id="{AC8ECA74-6F71-4D42-9040-651E7E667E5C}"/>
                  </a:ext>
                </a:extLst>
              </xdr:cNvPr>
              <xdr:cNvSpPr/>
            </xdr:nvSpPr>
            <xdr:spPr>
              <a:xfrm>
                <a:off x="8275493" y="2771775"/>
                <a:ext cx="658368" cy="365760"/>
              </a:xfrm>
              <a:prstGeom prst="roundRect">
                <a:avLst/>
              </a:prstGeom>
              <a:solidFill>
                <a:schemeClr val="bg1"/>
              </a:solidFill>
              <a:ln w="19050">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82F04C2-D2AC-47F4-9A9E-F62C8F7E8DA1}" type="TxLink">
                  <a:rPr lang="en-US" sz="800" b="0" i="0" u="none" strike="noStrike">
                    <a:solidFill>
                      <a:schemeClr val="accent5"/>
                    </a:solidFill>
                    <a:latin typeface="Century Gothic"/>
                  </a:rPr>
                  <a:pPr algn="ctr"/>
                  <a:t>All Beds
222 - 40.1%</a:t>
                </a:fld>
                <a:endParaRPr lang="en-US" sz="800" b="0">
                  <a:solidFill>
                    <a:schemeClr val="accent5"/>
                  </a:solidFill>
                </a:endParaRPr>
              </a:p>
            </xdr:txBody>
          </xdr:sp>
          <xdr:sp macro="" textlink="Chart!G95">
            <xdr:nvSpPr>
              <xdr:cNvPr id="324" name="Rounded Rectangle 151">
                <a:extLst>
                  <a:ext uri="{FF2B5EF4-FFF2-40B4-BE49-F238E27FC236}">
                    <a16:creationId xmlns:a16="http://schemas.microsoft.com/office/drawing/2014/main" id="{CED0A176-1AAD-41AA-B089-8BF65D6FCF81}"/>
                  </a:ext>
                </a:extLst>
              </xdr:cNvPr>
              <xdr:cNvSpPr/>
            </xdr:nvSpPr>
            <xdr:spPr>
              <a:xfrm>
                <a:off x="9053420" y="2771775"/>
                <a:ext cx="640080" cy="36576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1529F90-E5D3-4F5E-B532-8452686559A4}" type="TxLink">
                  <a:rPr lang="en-US" sz="800" b="0" i="0" u="none" strike="noStrike">
                    <a:solidFill>
                      <a:schemeClr val="bg1">
                        <a:lumMod val="100000"/>
                      </a:schemeClr>
                    </a:solidFill>
                    <a:latin typeface="Century Gothic"/>
                  </a:rPr>
                  <a:pPr algn="ctr"/>
                  <a:t>Max COVID 
40 - 100.0%</a:t>
                </a:fld>
                <a:endParaRPr lang="en-US" sz="800" b="0">
                  <a:solidFill>
                    <a:schemeClr val="bg1">
                      <a:lumMod val="100000"/>
                    </a:schemeClr>
                  </a:solidFill>
                </a:endParaRPr>
              </a:p>
            </xdr:txBody>
          </xdr:sp>
          <xdr:sp macro="" textlink="Chart!G97">
            <xdr:nvSpPr>
              <xdr:cNvPr id="325" name="Rounded Rectangle 152">
                <a:extLst>
                  <a:ext uri="{FF2B5EF4-FFF2-40B4-BE49-F238E27FC236}">
                    <a16:creationId xmlns:a16="http://schemas.microsoft.com/office/drawing/2014/main" id="{8AA1D238-9270-492D-AF5D-E48D0D8A624E}"/>
                  </a:ext>
                </a:extLst>
              </xdr:cNvPr>
              <xdr:cNvSpPr/>
            </xdr:nvSpPr>
            <xdr:spPr>
              <a:xfrm>
                <a:off x="10408623" y="2771775"/>
                <a:ext cx="658368" cy="365760"/>
              </a:xfrm>
              <a:prstGeom prst="roundRect">
                <a:avLst/>
              </a:prstGeom>
              <a:solidFill>
                <a:schemeClr val="bg1"/>
              </a:solidFill>
              <a:ln w="1905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1573497-F826-42EB-A976-9A0CF1D52405}" type="TxLink">
                  <a:rPr lang="en-US" sz="800" b="0" i="0" u="none" strike="noStrike">
                    <a:solidFill>
                      <a:schemeClr val="accent6">
                        <a:lumMod val="75000"/>
                      </a:schemeClr>
                    </a:solidFill>
                    <a:latin typeface="Century Gothic"/>
                  </a:rPr>
                  <a:pPr algn="ctr"/>
                  <a:t>All Beds
79 - 50.6%</a:t>
                </a:fld>
                <a:endParaRPr lang="en-US" sz="800" b="0">
                  <a:solidFill>
                    <a:schemeClr val="accent6">
                      <a:lumMod val="75000"/>
                    </a:schemeClr>
                  </a:solidFill>
                </a:endParaRPr>
              </a:p>
            </xdr:txBody>
          </xdr:sp>
          <xdr:sp macro="" textlink="Chart!G106">
            <xdr:nvSpPr>
              <xdr:cNvPr id="326" name="Rounded Rectangle 153">
                <a:extLst>
                  <a:ext uri="{FF2B5EF4-FFF2-40B4-BE49-F238E27FC236}">
                    <a16:creationId xmlns:a16="http://schemas.microsoft.com/office/drawing/2014/main" id="{34ABBA29-982F-4885-9F69-B07545EC7EC8}"/>
                  </a:ext>
                </a:extLst>
              </xdr:cNvPr>
              <xdr:cNvSpPr/>
            </xdr:nvSpPr>
            <xdr:spPr>
              <a:xfrm>
                <a:off x="11166501" y="2771775"/>
                <a:ext cx="640080" cy="36576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AD0B7EE-5604-48FD-8546-703D57CEAA1F}" type="TxLink">
                  <a:rPr lang="en-US" sz="800" b="0" i="0" u="none" strike="noStrike">
                    <a:solidFill>
                      <a:schemeClr val="bg1">
                        <a:lumMod val="100000"/>
                      </a:schemeClr>
                    </a:solidFill>
                    <a:latin typeface="Century Gothic"/>
                  </a:rPr>
                  <a:pPr algn="ctr"/>
                  <a:t>Max COVID 
143 - 83.2%</a:t>
                </a:fld>
                <a:endParaRPr lang="en-US" sz="800" b="0">
                  <a:solidFill>
                    <a:schemeClr val="bg1">
                      <a:lumMod val="100000"/>
                    </a:schemeClr>
                  </a:solidFill>
                </a:endParaRPr>
              </a:p>
            </xdr:txBody>
          </xdr:sp>
          <xdr:sp macro="" textlink="Chart!G108">
            <xdr:nvSpPr>
              <xdr:cNvPr id="327" name="Rounded Rectangle 154">
                <a:extLst>
                  <a:ext uri="{FF2B5EF4-FFF2-40B4-BE49-F238E27FC236}">
                    <a16:creationId xmlns:a16="http://schemas.microsoft.com/office/drawing/2014/main" id="{57E3187B-7D13-4DDC-95F3-1322C040F2F2}"/>
                  </a:ext>
                </a:extLst>
              </xdr:cNvPr>
              <xdr:cNvSpPr/>
            </xdr:nvSpPr>
            <xdr:spPr>
              <a:xfrm>
                <a:off x="12537688" y="2771775"/>
                <a:ext cx="658368" cy="365760"/>
              </a:xfrm>
              <a:prstGeom prst="roundRect">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07A4075-BC13-4A0B-AF66-27B53E7654D0}" type="TxLink">
                  <a:rPr lang="en-US" sz="800" b="0" i="0" u="none" strike="noStrike">
                    <a:solidFill>
                      <a:schemeClr val="accent6"/>
                    </a:solidFill>
                    <a:latin typeface="Century Gothic"/>
                  </a:rPr>
                  <a:pPr algn="ctr"/>
                  <a:t>All Beds
222 - 53.6%</a:t>
                </a:fld>
                <a:endParaRPr lang="en-US" sz="800" b="0">
                  <a:solidFill>
                    <a:schemeClr val="accent6"/>
                  </a:solidFill>
                </a:endParaRPr>
              </a:p>
            </xdr:txBody>
          </xdr:sp>
          <xdr:sp macro="" textlink="Chart!H95">
            <xdr:nvSpPr>
              <xdr:cNvPr id="328" name="Rounded Rectangle 155">
                <a:extLst>
                  <a:ext uri="{FF2B5EF4-FFF2-40B4-BE49-F238E27FC236}">
                    <a16:creationId xmlns:a16="http://schemas.microsoft.com/office/drawing/2014/main" id="{104F7CFC-DB1C-4EB0-A6E1-54E9C35BE125}"/>
                  </a:ext>
                </a:extLst>
              </xdr:cNvPr>
              <xdr:cNvSpPr/>
            </xdr:nvSpPr>
            <xdr:spPr>
              <a:xfrm>
                <a:off x="13298633" y="2771775"/>
                <a:ext cx="640080" cy="36576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DCDE57F-EBCF-4D32-BC19-44997A27B0BB}" type="TxLink">
                  <a:rPr lang="en-US" sz="800" b="0" i="0" u="none" strike="noStrike">
                    <a:solidFill>
                      <a:schemeClr val="bg1">
                        <a:lumMod val="100000"/>
                      </a:schemeClr>
                    </a:solidFill>
                    <a:latin typeface="Century Gothic"/>
                  </a:rPr>
                  <a:pPr algn="ctr"/>
                  <a:t>Max COVID 
40 - 100.0%</a:t>
                </a:fld>
                <a:endParaRPr lang="en-US" sz="800" b="0">
                  <a:solidFill>
                    <a:schemeClr val="bg1">
                      <a:lumMod val="100000"/>
                    </a:schemeClr>
                  </a:solidFill>
                </a:endParaRPr>
              </a:p>
            </xdr:txBody>
          </xdr:sp>
          <xdr:sp macro="" textlink="Chart!H97">
            <xdr:nvSpPr>
              <xdr:cNvPr id="329" name="Rounded Rectangle 156">
                <a:extLst>
                  <a:ext uri="{FF2B5EF4-FFF2-40B4-BE49-F238E27FC236}">
                    <a16:creationId xmlns:a16="http://schemas.microsoft.com/office/drawing/2014/main" id="{53097715-578B-4AFE-8108-B47E01A4ED9B}"/>
                  </a:ext>
                </a:extLst>
              </xdr:cNvPr>
              <xdr:cNvSpPr/>
            </xdr:nvSpPr>
            <xdr:spPr>
              <a:xfrm>
                <a:off x="14644077" y="2771775"/>
                <a:ext cx="658368" cy="365760"/>
              </a:xfrm>
              <a:prstGeom prst="roundRect">
                <a:avLst/>
              </a:prstGeom>
              <a:solidFill>
                <a:schemeClr val="bg1"/>
              </a:solidFill>
              <a:ln w="19050">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372D37F-2019-4876-BCA1-A58AF4C6BB82}" type="TxLink">
                  <a:rPr lang="en-US" sz="800" b="0" i="0" u="none" strike="noStrike">
                    <a:solidFill>
                      <a:schemeClr val="accent4">
                        <a:lumMod val="50000"/>
                      </a:schemeClr>
                    </a:solidFill>
                    <a:latin typeface="Century Gothic"/>
                  </a:rPr>
                  <a:pPr algn="ctr"/>
                  <a:t>All Beds
79 - 50.6%</a:t>
                </a:fld>
                <a:endParaRPr lang="en-US" sz="800" b="0">
                  <a:solidFill>
                    <a:schemeClr val="accent4">
                      <a:lumMod val="50000"/>
                    </a:schemeClr>
                  </a:solidFill>
                </a:endParaRPr>
              </a:p>
            </xdr:txBody>
          </xdr:sp>
          <xdr:sp macro="" textlink="Chart!H106">
            <xdr:nvSpPr>
              <xdr:cNvPr id="330" name="Rounded Rectangle 157">
                <a:extLst>
                  <a:ext uri="{FF2B5EF4-FFF2-40B4-BE49-F238E27FC236}">
                    <a16:creationId xmlns:a16="http://schemas.microsoft.com/office/drawing/2014/main" id="{51EDE7FC-F955-43A0-9752-2E610223179C}"/>
                  </a:ext>
                </a:extLst>
              </xdr:cNvPr>
              <xdr:cNvSpPr/>
            </xdr:nvSpPr>
            <xdr:spPr>
              <a:xfrm>
                <a:off x="15401490" y="2771775"/>
                <a:ext cx="640080" cy="36576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48A77DC-1A2E-4077-A07E-563F5A2EF568}" type="TxLink">
                  <a:rPr lang="en-US" sz="800" b="0" i="0" u="none" strike="noStrike">
                    <a:solidFill>
                      <a:schemeClr val="bg1">
                        <a:lumMod val="100000"/>
                      </a:schemeClr>
                    </a:solidFill>
                    <a:latin typeface="Century Gothic"/>
                  </a:rPr>
                  <a:pPr algn="ctr"/>
                  <a:t>Max COVID 
143 - 97.2%</a:t>
                </a:fld>
                <a:endParaRPr lang="en-US" sz="800" b="0">
                  <a:solidFill>
                    <a:schemeClr val="bg1">
                      <a:lumMod val="100000"/>
                    </a:schemeClr>
                  </a:solidFill>
                </a:endParaRPr>
              </a:p>
            </xdr:txBody>
          </xdr:sp>
          <xdr:sp macro="" textlink="Chart!H108">
            <xdr:nvSpPr>
              <xdr:cNvPr id="331" name="Rounded Rectangle 158">
                <a:extLst>
                  <a:ext uri="{FF2B5EF4-FFF2-40B4-BE49-F238E27FC236}">
                    <a16:creationId xmlns:a16="http://schemas.microsoft.com/office/drawing/2014/main" id="{0714FA05-9663-4778-8235-B13EF07D3772}"/>
                  </a:ext>
                </a:extLst>
              </xdr:cNvPr>
              <xdr:cNvSpPr/>
            </xdr:nvSpPr>
            <xdr:spPr>
              <a:xfrm>
                <a:off x="16776208" y="2771775"/>
                <a:ext cx="658368" cy="365760"/>
              </a:xfrm>
              <a:prstGeom prst="roundRect">
                <a:avLst/>
              </a:prstGeom>
              <a:solidFill>
                <a:schemeClr val="bg1"/>
              </a:solidFill>
              <a:ln w="19050">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40FF0EB-041A-45F8-8014-4DE6C3A26184}" type="TxLink">
                  <a:rPr lang="en-US" sz="800" b="0" i="0" u="none" strike="noStrike">
                    <a:solidFill>
                      <a:schemeClr val="accent4"/>
                    </a:solidFill>
                    <a:latin typeface="Century Gothic"/>
                  </a:rPr>
                  <a:pPr algn="ctr"/>
                  <a:t>All Beds
222 - 62.6%</a:t>
                </a:fld>
                <a:endParaRPr lang="en-US" sz="800" b="0">
                  <a:solidFill>
                    <a:schemeClr val="accent4"/>
                  </a:solidFill>
                </a:endParaRPr>
              </a:p>
            </xdr:txBody>
          </xdr:sp>
          <xdr:sp macro="" textlink="Chart!F94">
            <xdr:nvSpPr>
              <xdr:cNvPr id="332" name="Rounded Rectangle 159">
                <a:extLst>
                  <a:ext uri="{FF2B5EF4-FFF2-40B4-BE49-F238E27FC236}">
                    <a16:creationId xmlns:a16="http://schemas.microsoft.com/office/drawing/2014/main" id="{BB4607B6-FA27-415F-81B6-39CA41AA986E}"/>
                  </a:ext>
                </a:extLst>
              </xdr:cNvPr>
              <xdr:cNvSpPr/>
            </xdr:nvSpPr>
            <xdr:spPr>
              <a:xfrm>
                <a:off x="5456097" y="1362075"/>
                <a:ext cx="711946" cy="22860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BA5ABF0-5CBD-41CA-BBC9-917D6C9827CC}" type="TxLink">
                  <a:rPr lang="en-US" sz="1400" b="1" i="0" u="none" strike="noStrike">
                    <a:solidFill>
                      <a:schemeClr val="bg1">
                        <a:lumMod val="100000"/>
                      </a:schemeClr>
                    </a:solidFill>
                    <a:latin typeface="Century Gothic"/>
                  </a:rPr>
                  <a:pPr algn="ctr"/>
                  <a:t>16</a:t>
                </a:fld>
                <a:endParaRPr lang="en-US" sz="1400" b="1">
                  <a:solidFill>
                    <a:schemeClr val="bg1">
                      <a:lumMod val="100000"/>
                    </a:schemeClr>
                  </a:solidFill>
                </a:endParaRPr>
              </a:p>
            </xdr:txBody>
          </xdr:sp>
          <xdr:sp macro="" textlink="Chart!F105">
            <xdr:nvSpPr>
              <xdr:cNvPr id="333" name="Rounded Rectangle 160">
                <a:extLst>
                  <a:ext uri="{FF2B5EF4-FFF2-40B4-BE49-F238E27FC236}">
                    <a16:creationId xmlns:a16="http://schemas.microsoft.com/office/drawing/2014/main" id="{0E55FC69-C2A1-4AA4-A204-BF2FE2A4DD50}"/>
                  </a:ext>
                </a:extLst>
              </xdr:cNvPr>
              <xdr:cNvSpPr/>
            </xdr:nvSpPr>
            <xdr:spPr>
              <a:xfrm>
                <a:off x="7578959" y="1362075"/>
                <a:ext cx="711946" cy="22860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132AE3E-184F-4CAC-84B1-956C2F73CC3D}" type="TxLink">
                  <a:rPr lang="en-US" sz="1400" b="1" i="0" u="none" strike="noStrike">
                    <a:solidFill>
                      <a:schemeClr val="bg1">
                        <a:lumMod val="100000"/>
                      </a:schemeClr>
                    </a:solidFill>
                    <a:latin typeface="Century Gothic"/>
                  </a:rPr>
                  <a:pPr algn="ctr"/>
                  <a:t>89</a:t>
                </a:fld>
                <a:endParaRPr lang="en-US" sz="1400" b="1">
                  <a:solidFill>
                    <a:schemeClr val="bg1">
                      <a:lumMod val="100000"/>
                    </a:schemeClr>
                  </a:solidFill>
                </a:endParaRPr>
              </a:p>
            </xdr:txBody>
          </xdr:sp>
          <xdr:sp macro="" textlink="Chart!G94">
            <xdr:nvSpPr>
              <xdr:cNvPr id="334" name="Rounded Rectangle 161">
                <a:extLst>
                  <a:ext uri="{FF2B5EF4-FFF2-40B4-BE49-F238E27FC236}">
                    <a16:creationId xmlns:a16="http://schemas.microsoft.com/office/drawing/2014/main" id="{A0D1E141-1156-4018-B542-587D8EE8478A}"/>
                  </a:ext>
                </a:extLst>
              </xdr:cNvPr>
              <xdr:cNvSpPr/>
            </xdr:nvSpPr>
            <xdr:spPr>
              <a:xfrm>
                <a:off x="9701820" y="1362075"/>
                <a:ext cx="711946" cy="22860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936BD43-C7C2-4E7C-BA9B-0DF31649C020}" type="TxLink">
                  <a:rPr lang="en-US" sz="1400" b="1" i="0" u="none" strike="noStrike">
                    <a:solidFill>
                      <a:schemeClr val="bg1">
                        <a:lumMod val="100000"/>
                      </a:schemeClr>
                    </a:solidFill>
                    <a:latin typeface="Century Gothic"/>
                  </a:rPr>
                  <a:pPr algn="ctr"/>
                  <a:t>40</a:t>
                </a:fld>
                <a:endParaRPr lang="en-US" sz="1400" b="1">
                  <a:solidFill>
                    <a:schemeClr val="bg1">
                      <a:lumMod val="100000"/>
                    </a:schemeClr>
                  </a:solidFill>
                </a:endParaRPr>
              </a:p>
            </xdr:txBody>
          </xdr:sp>
          <xdr:sp macro="" textlink="Chart!G105">
            <xdr:nvSpPr>
              <xdr:cNvPr id="335" name="Rounded Rectangle 162">
                <a:extLst>
                  <a:ext uri="{FF2B5EF4-FFF2-40B4-BE49-F238E27FC236}">
                    <a16:creationId xmlns:a16="http://schemas.microsoft.com/office/drawing/2014/main" id="{BB36B4A9-2DD7-4A85-874A-B0C7F34E9C8A}"/>
                  </a:ext>
                </a:extLst>
              </xdr:cNvPr>
              <xdr:cNvSpPr/>
            </xdr:nvSpPr>
            <xdr:spPr>
              <a:xfrm>
                <a:off x="11824681" y="1362075"/>
                <a:ext cx="711946" cy="22860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F01BC14-25D2-4AA9-A4B2-410FE34CC160}" type="TxLink">
                  <a:rPr lang="en-US" sz="1400" b="1" i="0" u="none" strike="noStrike">
                    <a:solidFill>
                      <a:schemeClr val="bg1">
                        <a:lumMod val="100000"/>
                      </a:schemeClr>
                    </a:solidFill>
                    <a:latin typeface="Century Gothic"/>
                  </a:rPr>
                  <a:pPr algn="ctr"/>
                  <a:t>119</a:t>
                </a:fld>
                <a:endParaRPr lang="en-US" sz="1400" b="1">
                  <a:solidFill>
                    <a:schemeClr val="bg1">
                      <a:lumMod val="100000"/>
                    </a:schemeClr>
                  </a:solidFill>
                </a:endParaRPr>
              </a:p>
            </xdr:txBody>
          </xdr:sp>
          <xdr:sp macro="" textlink="Chart!H94">
            <xdr:nvSpPr>
              <xdr:cNvPr id="336" name="Rounded Rectangle 163">
                <a:extLst>
                  <a:ext uri="{FF2B5EF4-FFF2-40B4-BE49-F238E27FC236}">
                    <a16:creationId xmlns:a16="http://schemas.microsoft.com/office/drawing/2014/main" id="{D9E4AAE4-CE8A-4A8B-99CE-F64079E5AF1A}"/>
                  </a:ext>
                </a:extLst>
              </xdr:cNvPr>
              <xdr:cNvSpPr/>
            </xdr:nvSpPr>
            <xdr:spPr>
              <a:xfrm>
                <a:off x="13947542" y="1362075"/>
                <a:ext cx="711946" cy="22860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2CE1910-A979-428E-ACF9-64BA79555C9D}" type="TxLink">
                  <a:rPr lang="en-US" sz="1400" b="1" i="0" u="none" strike="noStrike">
                    <a:solidFill>
                      <a:schemeClr val="bg1">
                        <a:lumMod val="100000"/>
                      </a:schemeClr>
                    </a:solidFill>
                    <a:latin typeface="Century Gothic"/>
                  </a:rPr>
                  <a:pPr algn="ctr"/>
                  <a:t>40</a:t>
                </a:fld>
                <a:endParaRPr lang="en-US" sz="1400" b="1">
                  <a:solidFill>
                    <a:schemeClr val="bg1">
                      <a:lumMod val="100000"/>
                    </a:schemeClr>
                  </a:solidFill>
                </a:endParaRPr>
              </a:p>
            </xdr:txBody>
          </xdr:sp>
          <xdr:sp macro="" textlink="Chart!H105">
            <xdr:nvSpPr>
              <xdr:cNvPr id="337" name="Rounded Rectangle 164">
                <a:extLst>
                  <a:ext uri="{FF2B5EF4-FFF2-40B4-BE49-F238E27FC236}">
                    <a16:creationId xmlns:a16="http://schemas.microsoft.com/office/drawing/2014/main" id="{365D691E-8695-4F13-A214-19AF5C7DD423}"/>
                  </a:ext>
                </a:extLst>
              </xdr:cNvPr>
              <xdr:cNvSpPr/>
            </xdr:nvSpPr>
            <xdr:spPr>
              <a:xfrm>
                <a:off x="16032304" y="1362075"/>
                <a:ext cx="711946" cy="22860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ED07123-DBF9-4E6C-BA09-2A209CC8D125}" type="TxLink">
                  <a:rPr lang="en-US" sz="1400" b="1" i="0" u="none" strike="noStrike">
                    <a:solidFill>
                      <a:schemeClr val="bg1">
                        <a:lumMod val="100000"/>
                      </a:schemeClr>
                    </a:solidFill>
                    <a:latin typeface="Century Gothic"/>
                  </a:rPr>
                  <a:pPr algn="ctr"/>
                  <a:t>139</a:t>
                </a:fld>
                <a:endParaRPr lang="en-US" sz="1400" b="1">
                  <a:solidFill>
                    <a:schemeClr val="bg1">
                      <a:lumMod val="100000"/>
                    </a:schemeClr>
                  </a:solidFill>
                </a:endParaRPr>
              </a:p>
            </xdr:txBody>
          </xdr:sp>
          <xdr:sp macro="" textlink="Chart!F109">
            <xdr:nvSpPr>
              <xdr:cNvPr id="338" name="Rounded Rectangle 165">
                <a:extLst>
                  <a:ext uri="{FF2B5EF4-FFF2-40B4-BE49-F238E27FC236}">
                    <a16:creationId xmlns:a16="http://schemas.microsoft.com/office/drawing/2014/main" id="{4E72E5DE-0B62-415C-9528-FD7F5894122C}"/>
                  </a:ext>
                </a:extLst>
              </xdr:cNvPr>
              <xdr:cNvSpPr/>
            </xdr:nvSpPr>
            <xdr:spPr>
              <a:xfrm>
                <a:off x="6386040" y="1362075"/>
                <a:ext cx="960120" cy="459205"/>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0611837-C899-4DDD-AF85-E6F0C154A257}" type="TxLink">
                  <a:rPr lang="en-US" sz="1200" b="1" i="0" u="none" strike="noStrike">
                    <a:solidFill>
                      <a:schemeClr val="bg1"/>
                    </a:solidFill>
                    <a:latin typeface="Century Gothic"/>
                  </a:rPr>
                  <a:pPr algn="ctr"/>
                  <a:t>Total COVID
105</a:t>
                </a:fld>
                <a:endParaRPr lang="en-US" sz="1200" b="1">
                  <a:solidFill>
                    <a:schemeClr val="bg1"/>
                  </a:solidFill>
                </a:endParaRPr>
              </a:p>
            </xdr:txBody>
          </xdr:sp>
          <xdr:sp macro="" textlink="Chart!G109">
            <xdr:nvSpPr>
              <xdr:cNvPr id="339" name="Rounded Rectangle 167">
                <a:extLst>
                  <a:ext uri="{FF2B5EF4-FFF2-40B4-BE49-F238E27FC236}">
                    <a16:creationId xmlns:a16="http://schemas.microsoft.com/office/drawing/2014/main" id="{4A138778-6DE7-4EF3-B7B3-5DDF67583E73}"/>
                  </a:ext>
                </a:extLst>
              </xdr:cNvPr>
              <xdr:cNvSpPr/>
            </xdr:nvSpPr>
            <xdr:spPr>
              <a:xfrm>
                <a:off x="10642010" y="1362075"/>
                <a:ext cx="960120" cy="459205"/>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9339931-FC03-45AE-AFEF-FD28B31C4810}" type="TxLink">
                  <a:rPr lang="en-US" sz="1200" b="1" i="0" u="none" strike="noStrike">
                    <a:solidFill>
                      <a:schemeClr val="bg1"/>
                    </a:solidFill>
                    <a:latin typeface="Century Gothic"/>
                  </a:rPr>
                  <a:pPr algn="ctr"/>
                  <a:t>Total COVID
159</a:t>
                </a:fld>
                <a:endParaRPr lang="en-US" sz="1200" b="1">
                  <a:solidFill>
                    <a:schemeClr val="bg1"/>
                  </a:solidFill>
                </a:endParaRPr>
              </a:p>
            </xdr:txBody>
          </xdr:sp>
          <xdr:sp macro="" textlink="Chart!H109">
            <xdr:nvSpPr>
              <xdr:cNvPr id="340" name="Rounded Rectangle 168">
                <a:extLst>
                  <a:ext uri="{FF2B5EF4-FFF2-40B4-BE49-F238E27FC236}">
                    <a16:creationId xmlns:a16="http://schemas.microsoft.com/office/drawing/2014/main" id="{E5B9D515-E484-4040-A962-153F154E6B8C}"/>
                  </a:ext>
                </a:extLst>
              </xdr:cNvPr>
              <xdr:cNvSpPr/>
            </xdr:nvSpPr>
            <xdr:spPr>
              <a:xfrm>
                <a:off x="14887731" y="1362075"/>
                <a:ext cx="960120" cy="459205"/>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2BD07CC-7BC7-40FA-9711-A356CB5C9CBD}" type="TxLink">
                  <a:rPr lang="en-US" sz="1200" b="1" i="0" u="none" strike="noStrike">
                    <a:solidFill>
                      <a:schemeClr val="bg1"/>
                    </a:solidFill>
                    <a:latin typeface="Century Gothic"/>
                  </a:rPr>
                  <a:pPr algn="ctr"/>
                  <a:t>Total COVID
179</a:t>
                </a:fld>
                <a:endParaRPr lang="en-US" sz="1200" b="1">
                  <a:solidFill>
                    <a:schemeClr val="bg1"/>
                  </a:solidFill>
                </a:endParaRPr>
              </a:p>
            </xdr:txBody>
          </xdr:sp>
        </xdr:grpSp>
        <mc:AlternateContent xmlns:mc="http://schemas.openxmlformats.org/markup-compatibility/2006" xmlns:a14="http://schemas.microsoft.com/office/drawing/2010/main">
          <mc:Choice Requires="a14">
            <xdr:pic>
              <xdr:nvPicPr>
                <xdr:cNvPr id="272" name="Picture 271">
                  <a:extLst>
                    <a:ext uri="{FF2B5EF4-FFF2-40B4-BE49-F238E27FC236}">
                      <a16:creationId xmlns:a16="http://schemas.microsoft.com/office/drawing/2014/main" id="{02A8877C-8A6A-41AF-880A-3B326F5BD896}"/>
                    </a:ext>
                  </a:extLst>
                </xdr:cNvPr>
                <xdr:cNvPicPr>
                  <a:picLocks noChangeAspect="1" noChangeArrowheads="1"/>
                  <a:extLst>
                    <a:ext uri="{84589F7E-364E-4C9E-8A38-B11213B215E9}">
                      <a14:cameraTool cellRange="Labels!$A$3" spid="_x0000_s6255"/>
                    </a:ext>
                  </a:extLst>
                </xdr:cNvPicPr>
              </xdr:nvPicPr>
              <xdr:blipFill>
                <a:blip xmlns:r="http://schemas.openxmlformats.org/officeDocument/2006/relationships" r:embed="rId10"/>
                <a:srcRect/>
                <a:stretch>
                  <a:fillRect/>
                </a:stretch>
              </xdr:blipFill>
              <xdr:spPr bwMode="auto">
                <a:xfrm>
                  <a:off x="112938" y="4024993"/>
                  <a:ext cx="321541" cy="1328058"/>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mc:Choice>
          <mc:Fallback xmlns=""/>
        </mc:AlternateContent>
      </xdr:grpSp>
      <xdr:sp macro="" textlink="Chart!E96">
        <xdr:nvSpPr>
          <xdr:cNvPr id="265" name="Rounded Rectangle 142">
            <a:extLst>
              <a:ext uri="{FF2B5EF4-FFF2-40B4-BE49-F238E27FC236}">
                <a16:creationId xmlns:a16="http://schemas.microsoft.com/office/drawing/2014/main" id="{5AEE1316-916F-4EFD-A6CB-0A12BC7E835D}"/>
              </a:ext>
            </a:extLst>
          </xdr:cNvPr>
          <xdr:cNvSpPr/>
        </xdr:nvSpPr>
        <xdr:spPr>
          <a:xfrm>
            <a:off x="1239205" y="5167434"/>
            <a:ext cx="640080" cy="357602"/>
          </a:xfrm>
          <a:prstGeom prst="roundRect">
            <a:avLst/>
          </a:prstGeom>
          <a:pattFill prst="pct5">
            <a:fgClr>
              <a:schemeClr val="accent1">
                <a:lumMod val="50000"/>
              </a:schemeClr>
            </a:fgClr>
            <a:bgClr>
              <a:schemeClr val="bg1"/>
            </a:bgClr>
          </a:patt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1C6C977-12D3-4141-9916-A6D1F19DD925}" type="TxLink">
              <a:rPr lang="en-US" sz="800" b="0" i="0" u="none" strike="noStrike">
                <a:solidFill>
                  <a:schemeClr val="accent1">
                    <a:lumMod val="50000"/>
                  </a:schemeClr>
                </a:solidFill>
                <a:latin typeface="Century Gothic"/>
              </a:rPr>
              <a:pPr algn="ctr"/>
              <a:t>Crisis COVID 
40 - 40.0%</a:t>
            </a:fld>
            <a:endParaRPr lang="en-US" sz="600" b="0">
              <a:solidFill>
                <a:schemeClr val="accent1">
                  <a:lumMod val="50000"/>
                </a:schemeClr>
              </a:solidFill>
            </a:endParaRPr>
          </a:p>
        </xdr:txBody>
      </xdr:sp>
      <xdr:sp macro="" textlink="Chart!E107">
        <xdr:nvSpPr>
          <xdr:cNvPr id="266" name="Rounded Rectangle 144">
            <a:extLst>
              <a:ext uri="{FF2B5EF4-FFF2-40B4-BE49-F238E27FC236}">
                <a16:creationId xmlns:a16="http://schemas.microsoft.com/office/drawing/2014/main" id="{48D89CE9-558A-489D-9281-DBAFAF9F9D72}"/>
              </a:ext>
            </a:extLst>
          </xdr:cNvPr>
          <xdr:cNvSpPr/>
        </xdr:nvSpPr>
        <xdr:spPr>
          <a:xfrm>
            <a:off x="3361812" y="5167434"/>
            <a:ext cx="640080" cy="357602"/>
          </a:xfrm>
          <a:prstGeom prst="roundRect">
            <a:avLst/>
          </a:prstGeom>
          <a:pattFill prst="pct5">
            <a:fgClr>
              <a:schemeClr val="accent1"/>
            </a:fgClr>
            <a:bgClr>
              <a:schemeClr val="bg1"/>
            </a:bgClr>
          </a:patt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ECC14BA-6EF8-4CA0-A63B-D8A555FE94B0}" type="TxLink">
              <a:rPr lang="en-US" sz="800" b="0" i="0" u="none" strike="noStrike">
                <a:solidFill>
                  <a:schemeClr val="accent1"/>
                </a:solidFill>
                <a:latin typeface="Century Gothic"/>
              </a:rPr>
              <a:pPr algn="ctr"/>
              <a:t>Crisis COVID 
143 - 41.3%</a:t>
            </a:fld>
            <a:endParaRPr lang="en-US" sz="600" b="0">
              <a:solidFill>
                <a:schemeClr val="accent1"/>
              </a:solidFill>
            </a:endParaRPr>
          </a:p>
        </xdr:txBody>
      </xdr:sp>
      <xdr:sp macro="" textlink="Chart!F96">
        <xdr:nvSpPr>
          <xdr:cNvPr id="273" name="Rounded Rectangle 147">
            <a:extLst>
              <a:ext uri="{FF2B5EF4-FFF2-40B4-BE49-F238E27FC236}">
                <a16:creationId xmlns:a16="http://schemas.microsoft.com/office/drawing/2014/main" id="{25124E42-46D1-4532-AFB2-846156848FCD}"/>
              </a:ext>
            </a:extLst>
          </xdr:cNvPr>
          <xdr:cNvSpPr/>
        </xdr:nvSpPr>
        <xdr:spPr>
          <a:xfrm>
            <a:off x="5474937" y="5167434"/>
            <a:ext cx="640080" cy="357602"/>
          </a:xfrm>
          <a:prstGeom prst="roundRect">
            <a:avLst/>
          </a:prstGeom>
          <a:pattFill prst="pct5">
            <a:fgClr>
              <a:schemeClr val="accent5">
                <a:lumMod val="50000"/>
              </a:schemeClr>
            </a:fgClr>
            <a:bgClr>
              <a:schemeClr val="bg1"/>
            </a:bgClr>
          </a:patt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85E9D90-AD85-4276-AFBF-FEBBE0EB0D20}" type="TxLink">
              <a:rPr lang="en-US" sz="800" b="0" i="0" u="none" strike="noStrike">
                <a:solidFill>
                  <a:schemeClr val="accent5">
                    <a:lumMod val="50000"/>
                  </a:schemeClr>
                </a:solidFill>
                <a:latin typeface="Century Gothic"/>
              </a:rPr>
              <a:pPr algn="ctr"/>
              <a:t>Crisis COVID 
40 - 40.0%</a:t>
            </a:fld>
            <a:endParaRPr lang="en-US" sz="600" b="0">
              <a:solidFill>
                <a:schemeClr val="accent5">
                  <a:lumMod val="50000"/>
                </a:schemeClr>
              </a:solidFill>
            </a:endParaRPr>
          </a:p>
        </xdr:txBody>
      </xdr:sp>
      <xdr:sp macro="" textlink="Chart!F107">
        <xdr:nvSpPr>
          <xdr:cNvPr id="274" name="Rounded Rectangle 149">
            <a:extLst>
              <a:ext uri="{FF2B5EF4-FFF2-40B4-BE49-F238E27FC236}">
                <a16:creationId xmlns:a16="http://schemas.microsoft.com/office/drawing/2014/main" id="{510EB6CC-F508-4E82-8E51-B789E6F46EBD}"/>
              </a:ext>
            </a:extLst>
          </xdr:cNvPr>
          <xdr:cNvSpPr/>
        </xdr:nvSpPr>
        <xdr:spPr>
          <a:xfrm>
            <a:off x="7598008" y="5167434"/>
            <a:ext cx="640080" cy="357602"/>
          </a:xfrm>
          <a:prstGeom prst="roundRect">
            <a:avLst/>
          </a:prstGeom>
          <a:pattFill prst="pct5">
            <a:fgClr>
              <a:schemeClr val="accent5"/>
            </a:fgClr>
            <a:bgClr>
              <a:schemeClr val="bg1"/>
            </a:bgClr>
          </a:patt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DDF1D80-BF73-4FC8-B5D3-757D648ED12A}" type="TxLink">
              <a:rPr lang="en-US" sz="800" b="0" i="0" u="none" strike="noStrike">
                <a:solidFill>
                  <a:schemeClr val="accent5"/>
                </a:solidFill>
                <a:latin typeface="Century Gothic"/>
              </a:rPr>
              <a:pPr algn="ctr"/>
              <a:t>Crisis COVID 
143 - 62.2%</a:t>
            </a:fld>
            <a:endParaRPr lang="en-US" sz="600" b="0">
              <a:solidFill>
                <a:schemeClr val="accent5"/>
              </a:solidFill>
            </a:endParaRPr>
          </a:p>
        </xdr:txBody>
      </xdr:sp>
      <xdr:sp macro="" textlink="Chart!G96">
        <xdr:nvSpPr>
          <xdr:cNvPr id="275" name="Rounded Rectangle 151">
            <a:extLst>
              <a:ext uri="{FF2B5EF4-FFF2-40B4-BE49-F238E27FC236}">
                <a16:creationId xmlns:a16="http://schemas.microsoft.com/office/drawing/2014/main" id="{75864B40-E347-4529-9324-EF5E6C373191}"/>
              </a:ext>
            </a:extLst>
          </xdr:cNvPr>
          <xdr:cNvSpPr/>
        </xdr:nvSpPr>
        <xdr:spPr>
          <a:xfrm>
            <a:off x="9731022" y="5167434"/>
            <a:ext cx="640080" cy="357602"/>
          </a:xfrm>
          <a:prstGeom prst="roundRect">
            <a:avLst/>
          </a:prstGeom>
          <a:pattFill prst="pct5">
            <a:fgClr>
              <a:schemeClr val="accent6">
                <a:lumMod val="75000"/>
              </a:schemeClr>
            </a:fgClr>
            <a:bgClr>
              <a:schemeClr val="bg1"/>
            </a:bgClr>
          </a:patt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4AEA1F4-31F2-4FDB-A0DA-B303A6F88C08}" type="TxLink">
              <a:rPr lang="en-US" sz="800" b="0" i="0" u="none" strike="noStrike">
                <a:solidFill>
                  <a:schemeClr val="accent6">
                    <a:lumMod val="50000"/>
                  </a:schemeClr>
                </a:solidFill>
                <a:latin typeface="Century Gothic"/>
              </a:rPr>
              <a:pPr algn="ctr"/>
              <a:t>Crisis COVID 
40 - 100.0%</a:t>
            </a:fld>
            <a:endParaRPr lang="en-US" sz="600" b="0">
              <a:solidFill>
                <a:schemeClr val="accent6">
                  <a:lumMod val="50000"/>
                </a:schemeClr>
              </a:solidFill>
            </a:endParaRPr>
          </a:p>
        </xdr:txBody>
      </xdr:sp>
      <xdr:sp macro="" textlink="Chart!G107">
        <xdr:nvSpPr>
          <xdr:cNvPr id="276" name="Rounded Rectangle 153">
            <a:extLst>
              <a:ext uri="{FF2B5EF4-FFF2-40B4-BE49-F238E27FC236}">
                <a16:creationId xmlns:a16="http://schemas.microsoft.com/office/drawing/2014/main" id="{A4E694C3-2DC5-48C3-9599-4E975A100F58}"/>
              </a:ext>
            </a:extLst>
          </xdr:cNvPr>
          <xdr:cNvSpPr/>
        </xdr:nvSpPr>
        <xdr:spPr>
          <a:xfrm>
            <a:off x="11852095" y="5167434"/>
            <a:ext cx="640080" cy="357602"/>
          </a:xfrm>
          <a:prstGeom prst="roundRect">
            <a:avLst/>
          </a:prstGeom>
          <a:pattFill prst="pct5">
            <a:fgClr>
              <a:schemeClr val="accent6"/>
            </a:fgClr>
            <a:bgClr>
              <a:schemeClr val="bg1"/>
            </a:bgClr>
          </a:patt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3ED341C-5E9B-4484-B598-205BC70B9E32}" type="TxLink">
              <a:rPr lang="en-US" sz="800" b="0" i="0" u="none" strike="noStrike">
                <a:solidFill>
                  <a:schemeClr val="accent6"/>
                </a:solidFill>
                <a:latin typeface="Century Gothic"/>
              </a:rPr>
              <a:pPr algn="ctr"/>
              <a:t>Crisis COVID 
143 - 83.2%</a:t>
            </a:fld>
            <a:endParaRPr lang="en-US" sz="600" b="0">
              <a:solidFill>
                <a:schemeClr val="accent6"/>
              </a:solidFill>
            </a:endParaRPr>
          </a:p>
        </xdr:txBody>
      </xdr:sp>
      <xdr:sp macro="" textlink="Chart!H96">
        <xdr:nvSpPr>
          <xdr:cNvPr id="277" name="Rounded Rectangle 155">
            <a:extLst>
              <a:ext uri="{FF2B5EF4-FFF2-40B4-BE49-F238E27FC236}">
                <a16:creationId xmlns:a16="http://schemas.microsoft.com/office/drawing/2014/main" id="{E843CDB9-D1FB-4235-8F05-019CBE465E40}"/>
              </a:ext>
            </a:extLst>
          </xdr:cNvPr>
          <xdr:cNvSpPr/>
        </xdr:nvSpPr>
        <xdr:spPr>
          <a:xfrm>
            <a:off x="13971355" y="5167434"/>
            <a:ext cx="640080" cy="357602"/>
          </a:xfrm>
          <a:prstGeom prst="roundRect">
            <a:avLst/>
          </a:prstGeom>
          <a:pattFill prst="pct5">
            <a:fgClr>
              <a:schemeClr val="accent4">
                <a:lumMod val="50000"/>
              </a:schemeClr>
            </a:fgClr>
            <a:bgClr>
              <a:schemeClr val="bg1"/>
            </a:bgClr>
          </a:patt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CAD3E40-4138-433C-ACBD-BBF46F93F7CD}" type="TxLink">
              <a:rPr lang="en-US" sz="800" b="0" i="0" u="none" strike="noStrike">
                <a:solidFill>
                  <a:schemeClr val="accent4">
                    <a:lumMod val="50000"/>
                  </a:schemeClr>
                </a:solidFill>
                <a:latin typeface="Century Gothic"/>
              </a:rPr>
              <a:pPr algn="ctr"/>
              <a:t>Crisis COVID 
40 - 100.0%</a:t>
            </a:fld>
            <a:endParaRPr lang="en-US" sz="600" b="0">
              <a:solidFill>
                <a:schemeClr val="accent4">
                  <a:lumMod val="50000"/>
                </a:schemeClr>
              </a:solidFill>
            </a:endParaRPr>
          </a:p>
        </xdr:txBody>
      </xdr:sp>
      <xdr:sp macro="" textlink="Chart!H107">
        <xdr:nvSpPr>
          <xdr:cNvPr id="278" name="Rounded Rectangle 157">
            <a:extLst>
              <a:ext uri="{FF2B5EF4-FFF2-40B4-BE49-F238E27FC236}">
                <a16:creationId xmlns:a16="http://schemas.microsoft.com/office/drawing/2014/main" id="{02B0FCFE-8728-4684-BEBB-DC971BBE8967}"/>
              </a:ext>
            </a:extLst>
          </xdr:cNvPr>
          <xdr:cNvSpPr/>
        </xdr:nvSpPr>
        <xdr:spPr>
          <a:xfrm>
            <a:off x="16088849" y="5167434"/>
            <a:ext cx="640080" cy="357602"/>
          </a:xfrm>
          <a:prstGeom prst="roundRect">
            <a:avLst/>
          </a:prstGeom>
          <a:pattFill prst="pct5">
            <a:fgClr>
              <a:schemeClr val="accent4"/>
            </a:fgClr>
            <a:bgClr>
              <a:schemeClr val="bg1"/>
            </a:bgClr>
          </a:patt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4BF86B4-3A6C-4C61-87F0-E2C268435DEE}" type="TxLink">
              <a:rPr lang="en-US" sz="800" b="0" i="0" u="none" strike="noStrike">
                <a:solidFill>
                  <a:schemeClr val="accent4"/>
                </a:solidFill>
                <a:latin typeface="Century Gothic"/>
              </a:rPr>
              <a:pPr algn="ctr"/>
              <a:t>Crisis COVID 
143 - 97.2%</a:t>
            </a:fld>
            <a:endParaRPr lang="en-US" sz="600" b="0">
              <a:solidFill>
                <a:schemeClr val="accent4"/>
              </a:solidFill>
            </a:endParaRPr>
          </a:p>
        </xdr:txBody>
      </xdr:sp>
    </xdr:grpSp>
    <xdr:clientData/>
  </xdr:twoCellAnchor>
  <xdr:twoCellAnchor>
    <xdr:from>
      <xdr:col>0</xdr:col>
      <xdr:colOff>9525</xdr:colOff>
      <xdr:row>30</xdr:row>
      <xdr:rowOff>120953</xdr:rowOff>
    </xdr:from>
    <xdr:to>
      <xdr:col>17</xdr:col>
      <xdr:colOff>104775</xdr:colOff>
      <xdr:row>45</xdr:row>
      <xdr:rowOff>115661</xdr:rowOff>
    </xdr:to>
    <xdr:grpSp>
      <xdr:nvGrpSpPr>
        <xdr:cNvPr id="7" name="Group 6">
          <a:extLst>
            <a:ext uri="{FF2B5EF4-FFF2-40B4-BE49-F238E27FC236}">
              <a16:creationId xmlns:a16="http://schemas.microsoft.com/office/drawing/2014/main" id="{745FF1FC-6631-4C79-A31B-401D95151092}"/>
            </a:ext>
          </a:extLst>
        </xdr:cNvPr>
        <xdr:cNvGrpSpPr/>
      </xdr:nvGrpSpPr>
      <xdr:grpSpPr>
        <a:xfrm>
          <a:off x="8467" y="5429023"/>
          <a:ext cx="18855266" cy="2471738"/>
          <a:chOff x="9525" y="5607353"/>
          <a:chExt cx="17573625" cy="2566458"/>
        </a:xfrm>
      </xdr:grpSpPr>
      <xdr:grpSp>
        <xdr:nvGrpSpPr>
          <xdr:cNvPr id="341" name="Group 340">
            <a:extLst>
              <a:ext uri="{FF2B5EF4-FFF2-40B4-BE49-F238E27FC236}">
                <a16:creationId xmlns:a16="http://schemas.microsoft.com/office/drawing/2014/main" id="{32A4BFAD-4026-471D-B9D8-1778346F41F7}"/>
              </a:ext>
            </a:extLst>
          </xdr:cNvPr>
          <xdr:cNvGrpSpPr/>
        </xdr:nvGrpSpPr>
        <xdr:grpSpPr>
          <a:xfrm>
            <a:off x="9525" y="5607353"/>
            <a:ext cx="17573625" cy="2566458"/>
            <a:chOff x="9525" y="1369234"/>
            <a:chExt cx="17573625" cy="2564591"/>
          </a:xfrm>
        </xdr:grpSpPr>
        <xdr:sp macro="" textlink="">
          <xdr:nvSpPr>
            <xdr:cNvPr id="342" name="Rectangle: Rounded Corners 341">
              <a:extLst>
                <a:ext uri="{FF2B5EF4-FFF2-40B4-BE49-F238E27FC236}">
                  <a16:creationId xmlns:a16="http://schemas.microsoft.com/office/drawing/2014/main" id="{7F97E029-42BC-4A75-8CE8-F6E3015D7B8C}"/>
                </a:ext>
              </a:extLst>
            </xdr:cNvPr>
            <xdr:cNvSpPr/>
          </xdr:nvSpPr>
          <xdr:spPr>
            <a:xfrm>
              <a:off x="9525" y="1369234"/>
              <a:ext cx="17573625" cy="1866900"/>
            </a:xfrm>
            <a:prstGeom prst="roundRect">
              <a:avLst/>
            </a:prstGeom>
            <a:solidFill>
              <a:schemeClr val="bg1">
                <a:lumMod val="85000"/>
              </a:schemeClr>
            </a:solidFill>
            <a:ln w="28575">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43" name="Group 342">
              <a:extLst>
                <a:ext uri="{FF2B5EF4-FFF2-40B4-BE49-F238E27FC236}">
                  <a16:creationId xmlns:a16="http://schemas.microsoft.com/office/drawing/2014/main" id="{1AB8E828-1596-4A0F-AAE2-D3C31751D9BC}"/>
                </a:ext>
              </a:extLst>
            </xdr:cNvPr>
            <xdr:cNvGrpSpPr/>
          </xdr:nvGrpSpPr>
          <xdr:grpSpPr>
            <a:xfrm>
              <a:off x="542670" y="1438275"/>
              <a:ext cx="16907130" cy="2495550"/>
              <a:chOff x="542670" y="1362075"/>
              <a:chExt cx="16907130" cy="2554605"/>
            </a:xfrm>
          </xdr:grpSpPr>
          <xdr:graphicFrame macro="">
            <xdr:nvGraphicFramePr>
              <xdr:cNvPr id="345" name="Chart 344">
                <a:extLst>
                  <a:ext uri="{FF2B5EF4-FFF2-40B4-BE49-F238E27FC236}">
                    <a16:creationId xmlns:a16="http://schemas.microsoft.com/office/drawing/2014/main" id="{76C4392F-FE06-416D-B5A7-9108D1477DFF}"/>
                  </a:ext>
                </a:extLst>
              </xdr:cNvPr>
              <xdr:cNvGraphicFramePr>
                <a:graphicFrameLocks/>
              </xdr:cNvGraphicFramePr>
            </xdr:nvGraphicFramePr>
            <xdr:xfrm>
              <a:off x="542925" y="1447800"/>
              <a:ext cx="2046846" cy="246888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46" name="Chart 345">
                <a:extLst>
                  <a:ext uri="{FF2B5EF4-FFF2-40B4-BE49-F238E27FC236}">
                    <a16:creationId xmlns:a16="http://schemas.microsoft.com/office/drawing/2014/main" id="{5B2E53A2-D7B8-4DD9-B050-AD9AFD89E793}"/>
                  </a:ext>
                </a:extLst>
              </xdr:cNvPr>
              <xdr:cNvGraphicFramePr>
                <a:graphicFrameLocks/>
              </xdr:cNvGraphicFramePr>
            </xdr:nvGraphicFramePr>
            <xdr:xfrm>
              <a:off x="2665786" y="1447800"/>
              <a:ext cx="2046846" cy="246888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47" name="Chart 346">
                <a:extLst>
                  <a:ext uri="{FF2B5EF4-FFF2-40B4-BE49-F238E27FC236}">
                    <a16:creationId xmlns:a16="http://schemas.microsoft.com/office/drawing/2014/main" id="{BD0501AE-E9DE-4ACA-A463-41C01D69174F}"/>
                  </a:ext>
                </a:extLst>
              </xdr:cNvPr>
              <xdr:cNvGraphicFramePr>
                <a:graphicFrameLocks/>
              </xdr:cNvGraphicFramePr>
            </xdr:nvGraphicFramePr>
            <xdr:xfrm>
              <a:off x="4788648" y="1447800"/>
              <a:ext cx="2046846" cy="246888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48" name="Chart 347">
                <a:extLst>
                  <a:ext uri="{FF2B5EF4-FFF2-40B4-BE49-F238E27FC236}">
                    <a16:creationId xmlns:a16="http://schemas.microsoft.com/office/drawing/2014/main" id="{EC459E7E-3B5B-4CA2-BBBA-B5549056AC98}"/>
                  </a:ext>
                </a:extLst>
              </xdr:cNvPr>
              <xdr:cNvGraphicFramePr>
                <a:graphicFrameLocks/>
              </xdr:cNvGraphicFramePr>
            </xdr:nvGraphicFramePr>
            <xdr:xfrm>
              <a:off x="6911509" y="1447800"/>
              <a:ext cx="2046846" cy="2468880"/>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349" name="Chart 348">
                <a:extLst>
                  <a:ext uri="{FF2B5EF4-FFF2-40B4-BE49-F238E27FC236}">
                    <a16:creationId xmlns:a16="http://schemas.microsoft.com/office/drawing/2014/main" id="{91A417F2-A054-4122-9898-9D4235AB5336}"/>
                  </a:ext>
                </a:extLst>
              </xdr:cNvPr>
              <xdr:cNvGraphicFramePr>
                <a:graphicFrameLocks/>
              </xdr:cNvGraphicFramePr>
            </xdr:nvGraphicFramePr>
            <xdr:xfrm>
              <a:off x="9034370" y="1447800"/>
              <a:ext cx="2046846" cy="2468880"/>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350" name="Chart 349">
                <a:extLst>
                  <a:ext uri="{FF2B5EF4-FFF2-40B4-BE49-F238E27FC236}">
                    <a16:creationId xmlns:a16="http://schemas.microsoft.com/office/drawing/2014/main" id="{31241587-3A93-4001-A848-D1F25E89DC39}"/>
                  </a:ext>
                </a:extLst>
              </xdr:cNvPr>
              <xdr:cNvGraphicFramePr>
                <a:graphicFrameLocks/>
              </xdr:cNvGraphicFramePr>
            </xdr:nvGraphicFramePr>
            <xdr:xfrm>
              <a:off x="11157231" y="1447800"/>
              <a:ext cx="2046846" cy="2468880"/>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351" name="Chart 350">
                <a:extLst>
                  <a:ext uri="{FF2B5EF4-FFF2-40B4-BE49-F238E27FC236}">
                    <a16:creationId xmlns:a16="http://schemas.microsoft.com/office/drawing/2014/main" id="{76628589-54BF-4A0C-B1C1-6F593440DCC1}"/>
                  </a:ext>
                </a:extLst>
              </xdr:cNvPr>
              <xdr:cNvGraphicFramePr>
                <a:graphicFrameLocks/>
              </xdr:cNvGraphicFramePr>
            </xdr:nvGraphicFramePr>
            <xdr:xfrm>
              <a:off x="13280093" y="1447800"/>
              <a:ext cx="2046846" cy="2468880"/>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352" name="Chart 351">
                <a:extLst>
                  <a:ext uri="{FF2B5EF4-FFF2-40B4-BE49-F238E27FC236}">
                    <a16:creationId xmlns:a16="http://schemas.microsoft.com/office/drawing/2014/main" id="{F7D432C6-F2D8-4772-A872-DD3944117D7C}"/>
                  </a:ext>
                </a:extLst>
              </xdr:cNvPr>
              <xdr:cNvGraphicFramePr>
                <a:graphicFrameLocks/>
              </xdr:cNvGraphicFramePr>
            </xdr:nvGraphicFramePr>
            <xdr:xfrm>
              <a:off x="15402954" y="1447800"/>
              <a:ext cx="2046846" cy="2468880"/>
            </xdr:xfrm>
            <a:graphic>
              <a:graphicData uri="http://schemas.openxmlformats.org/drawingml/2006/chart">
                <c:chart xmlns:c="http://schemas.openxmlformats.org/drawingml/2006/chart" xmlns:r="http://schemas.openxmlformats.org/officeDocument/2006/relationships" r:id="rId18"/>
              </a:graphicData>
            </a:graphic>
          </xdr:graphicFrame>
          <xdr:sp macro="" textlink="Chart!E117">
            <xdr:nvSpPr>
              <xdr:cNvPr id="353" name="Rounded Rectangle 140">
                <a:extLst>
                  <a:ext uri="{FF2B5EF4-FFF2-40B4-BE49-F238E27FC236}">
                    <a16:creationId xmlns:a16="http://schemas.microsoft.com/office/drawing/2014/main" id="{0A9B04CA-E7C9-4F03-A203-E16A30423B9C}"/>
                  </a:ext>
                </a:extLst>
              </xdr:cNvPr>
              <xdr:cNvSpPr/>
            </xdr:nvSpPr>
            <xdr:spPr>
              <a:xfrm>
                <a:off x="1210375" y="1362075"/>
                <a:ext cx="711946" cy="22860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EDC1BA9-E8E1-4BD7-91D1-F7ECB61EA721}" type="TxLink">
                  <a:rPr lang="en-US" sz="1400" b="1" i="0" u="none" strike="noStrike">
                    <a:solidFill>
                      <a:schemeClr val="bg1">
                        <a:lumMod val="100000"/>
                      </a:schemeClr>
                    </a:solidFill>
                    <a:latin typeface="Century Gothic"/>
                  </a:rPr>
                  <a:pPr algn="ctr"/>
                  <a:t>12</a:t>
                </a:fld>
                <a:endParaRPr lang="en-US" sz="1400" b="1">
                  <a:solidFill>
                    <a:schemeClr val="bg1">
                      <a:lumMod val="100000"/>
                    </a:schemeClr>
                  </a:solidFill>
                </a:endParaRPr>
              </a:p>
            </xdr:txBody>
          </xdr:sp>
          <xdr:sp macro="" textlink="Chart!E128">
            <xdr:nvSpPr>
              <xdr:cNvPr id="354" name="Rounded Rectangle 141">
                <a:extLst>
                  <a:ext uri="{FF2B5EF4-FFF2-40B4-BE49-F238E27FC236}">
                    <a16:creationId xmlns:a16="http://schemas.microsoft.com/office/drawing/2014/main" id="{EBD0375F-4F28-4308-A3E9-314E489921B0}"/>
                  </a:ext>
                </a:extLst>
              </xdr:cNvPr>
              <xdr:cNvSpPr/>
            </xdr:nvSpPr>
            <xdr:spPr>
              <a:xfrm>
                <a:off x="3333236" y="1362075"/>
                <a:ext cx="711946" cy="2286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A62A8C4-03C3-4223-8648-2553A7CB9D06}" type="TxLink">
                  <a:rPr lang="en-US" sz="1400" b="1" i="0" u="none" strike="noStrike">
                    <a:solidFill>
                      <a:schemeClr val="bg1">
                        <a:lumMod val="100000"/>
                      </a:schemeClr>
                    </a:solidFill>
                    <a:latin typeface="Century Gothic"/>
                  </a:rPr>
                  <a:pPr algn="ctr"/>
                  <a:t>30</a:t>
                </a:fld>
                <a:endParaRPr lang="en-US" sz="1400" b="1">
                  <a:solidFill>
                    <a:schemeClr val="bg1">
                      <a:lumMod val="100000"/>
                    </a:schemeClr>
                  </a:solidFill>
                </a:endParaRPr>
              </a:p>
            </xdr:txBody>
          </xdr:sp>
          <xdr:sp macro="" textlink="Chart!E118">
            <xdr:nvSpPr>
              <xdr:cNvPr id="355" name="Rounded Rectangle 142">
                <a:extLst>
                  <a:ext uri="{FF2B5EF4-FFF2-40B4-BE49-F238E27FC236}">
                    <a16:creationId xmlns:a16="http://schemas.microsoft.com/office/drawing/2014/main" id="{75C16644-BEAF-4395-AF02-92582D79FECE}"/>
                  </a:ext>
                </a:extLst>
              </xdr:cNvPr>
              <xdr:cNvSpPr/>
            </xdr:nvSpPr>
            <xdr:spPr>
              <a:xfrm>
                <a:off x="542670" y="2771775"/>
                <a:ext cx="640080" cy="36576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A23CD9E-01E7-480D-99DA-2D7A0C482A10}" type="TxLink">
                  <a:rPr lang="en-US" sz="800" b="0" i="0" u="none" strike="noStrike">
                    <a:solidFill>
                      <a:schemeClr val="bg1">
                        <a:lumMod val="100000"/>
                      </a:schemeClr>
                    </a:solidFill>
                    <a:latin typeface="Century Gothic"/>
                  </a:rPr>
                  <a:pPr algn="ctr"/>
                  <a:t>Max COVID 
34 - 35.3%</a:t>
                </a:fld>
                <a:endParaRPr lang="en-US" sz="800" b="0">
                  <a:solidFill>
                    <a:schemeClr val="bg1">
                      <a:lumMod val="100000"/>
                    </a:schemeClr>
                  </a:solidFill>
                </a:endParaRPr>
              </a:p>
            </xdr:txBody>
          </xdr:sp>
          <xdr:sp macro="" textlink="Chart!E120">
            <xdr:nvSpPr>
              <xdr:cNvPr id="356" name="Rounded Rectangle 143">
                <a:extLst>
                  <a:ext uri="{FF2B5EF4-FFF2-40B4-BE49-F238E27FC236}">
                    <a16:creationId xmlns:a16="http://schemas.microsoft.com/office/drawing/2014/main" id="{9B279156-D3E1-4F1F-99A4-14AC2CD63745}"/>
                  </a:ext>
                </a:extLst>
              </xdr:cNvPr>
              <xdr:cNvSpPr/>
            </xdr:nvSpPr>
            <xdr:spPr>
              <a:xfrm>
                <a:off x="1907164" y="2771775"/>
                <a:ext cx="658368"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832ECAB-3852-4826-B41C-61E31B8D237B}" type="TxLink">
                  <a:rPr lang="en-US" sz="800" b="1" i="0" u="none" strike="noStrike">
                    <a:solidFill>
                      <a:schemeClr val="accent1">
                        <a:lumMod val="50000"/>
                      </a:schemeClr>
                    </a:solidFill>
                    <a:latin typeface="Century Gothic"/>
                  </a:rPr>
                  <a:pPr algn="ctr"/>
                  <a:t>All Beds
72 - 16.7%</a:t>
                </a:fld>
                <a:endParaRPr lang="en-US" sz="800" b="1">
                  <a:solidFill>
                    <a:schemeClr val="accent1">
                      <a:lumMod val="50000"/>
                    </a:schemeClr>
                  </a:solidFill>
                </a:endParaRPr>
              </a:p>
            </xdr:txBody>
          </xdr:sp>
          <xdr:sp macro="" textlink="Chart!E129">
            <xdr:nvSpPr>
              <xdr:cNvPr id="357" name="Rounded Rectangle 144">
                <a:extLst>
                  <a:ext uri="{FF2B5EF4-FFF2-40B4-BE49-F238E27FC236}">
                    <a16:creationId xmlns:a16="http://schemas.microsoft.com/office/drawing/2014/main" id="{CAC03817-D0C0-47FB-92DA-A5CE5054E500}"/>
                  </a:ext>
                </a:extLst>
              </xdr:cNvPr>
              <xdr:cNvSpPr/>
            </xdr:nvSpPr>
            <xdr:spPr>
              <a:xfrm>
                <a:off x="2674802" y="2771775"/>
                <a:ext cx="640080" cy="36576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307B63D-9D71-49BF-954F-A8F953A1408F}" type="TxLink">
                  <a:rPr lang="en-US" sz="800" b="0" i="0" u="none" strike="noStrike">
                    <a:solidFill>
                      <a:schemeClr val="bg1">
                        <a:lumMod val="100000"/>
                      </a:schemeClr>
                    </a:solidFill>
                    <a:latin typeface="Century Gothic"/>
                  </a:rPr>
                  <a:pPr algn="ctr"/>
                  <a:t>Max COVID 
60 - 50.0%</a:t>
                </a:fld>
                <a:endParaRPr lang="en-US" sz="800" b="0">
                  <a:solidFill>
                    <a:schemeClr val="bg1">
                      <a:lumMod val="100000"/>
                    </a:schemeClr>
                  </a:solidFill>
                </a:endParaRPr>
              </a:p>
            </xdr:txBody>
          </xdr:sp>
          <xdr:sp macro="" textlink="Chart!E131">
            <xdr:nvSpPr>
              <xdr:cNvPr id="358" name="Rounded Rectangle 145">
                <a:extLst>
                  <a:ext uri="{FF2B5EF4-FFF2-40B4-BE49-F238E27FC236}">
                    <a16:creationId xmlns:a16="http://schemas.microsoft.com/office/drawing/2014/main" id="{6301928D-9260-4296-AB34-781AB0628C84}"/>
                  </a:ext>
                </a:extLst>
              </xdr:cNvPr>
              <xdr:cNvSpPr/>
            </xdr:nvSpPr>
            <xdr:spPr>
              <a:xfrm>
                <a:off x="4039296" y="2771775"/>
                <a:ext cx="658368"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A93401F-3CFE-4D47-9755-134D375CE69E}" type="TxLink">
                  <a:rPr lang="en-US" sz="800" b="1" i="0" u="none" strike="noStrike">
                    <a:solidFill>
                      <a:schemeClr val="accent1"/>
                    </a:solidFill>
                    <a:latin typeface="Century Gothic"/>
                  </a:rPr>
                  <a:pPr algn="ctr"/>
                  <a:t>All Beds
309 - 9.7%</a:t>
                </a:fld>
                <a:endParaRPr lang="en-US" sz="800" b="1">
                  <a:solidFill>
                    <a:schemeClr val="accent1"/>
                  </a:solidFill>
                </a:endParaRPr>
              </a:p>
            </xdr:txBody>
          </xdr:sp>
          <xdr:sp macro="" textlink="Chart!E132">
            <xdr:nvSpPr>
              <xdr:cNvPr id="359" name="Rounded Rectangle 146">
                <a:extLst>
                  <a:ext uri="{FF2B5EF4-FFF2-40B4-BE49-F238E27FC236}">
                    <a16:creationId xmlns:a16="http://schemas.microsoft.com/office/drawing/2014/main" id="{AD2FE99A-FA17-49A9-8A3E-4653A738E152}"/>
                  </a:ext>
                </a:extLst>
              </xdr:cNvPr>
              <xdr:cNvSpPr/>
            </xdr:nvSpPr>
            <xdr:spPr>
              <a:xfrm>
                <a:off x="2130070" y="1362075"/>
                <a:ext cx="960120" cy="459205"/>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1EA1DE1-07B0-45B3-9199-38D6824958E1}" type="TxLink">
                  <a:rPr lang="en-US" sz="1200" b="1" i="0" u="none" strike="noStrike">
                    <a:solidFill>
                      <a:schemeClr val="bg1"/>
                    </a:solidFill>
                    <a:latin typeface="Century Gothic"/>
                  </a:rPr>
                  <a:pPr algn="ctr"/>
                  <a:t>Total COVID
42</a:t>
                </a:fld>
                <a:endParaRPr lang="en-US" sz="1200" b="1">
                  <a:solidFill>
                    <a:schemeClr val="bg1"/>
                  </a:solidFill>
                </a:endParaRPr>
              </a:p>
            </xdr:txBody>
          </xdr:sp>
          <xdr:sp macro="" textlink="Chart!F118">
            <xdr:nvSpPr>
              <xdr:cNvPr id="360" name="Rounded Rectangle 147">
                <a:extLst>
                  <a:ext uri="{FF2B5EF4-FFF2-40B4-BE49-F238E27FC236}">
                    <a16:creationId xmlns:a16="http://schemas.microsoft.com/office/drawing/2014/main" id="{104C9054-BDAB-47E2-B4E4-881ACA612D94}"/>
                  </a:ext>
                </a:extLst>
              </xdr:cNvPr>
              <xdr:cNvSpPr/>
            </xdr:nvSpPr>
            <xdr:spPr>
              <a:xfrm>
                <a:off x="4788393" y="2771775"/>
                <a:ext cx="640080" cy="36576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5427E42-297B-49B0-864E-B159D3D877A9}" type="TxLink">
                  <a:rPr lang="en-US" sz="800" b="0" i="0" u="none" strike="noStrike">
                    <a:solidFill>
                      <a:schemeClr val="bg1">
                        <a:lumMod val="100000"/>
                      </a:schemeClr>
                    </a:solidFill>
                    <a:latin typeface="Century Gothic"/>
                  </a:rPr>
                  <a:pPr algn="ctr"/>
                  <a:t>Max COVID 
34 - 35.3%</a:t>
                </a:fld>
                <a:endParaRPr lang="en-US" sz="800" b="0">
                  <a:solidFill>
                    <a:schemeClr val="bg1">
                      <a:lumMod val="100000"/>
                    </a:schemeClr>
                  </a:solidFill>
                </a:endParaRPr>
              </a:p>
            </xdr:txBody>
          </xdr:sp>
          <xdr:sp macro="" textlink="Chart!F120">
            <xdr:nvSpPr>
              <xdr:cNvPr id="361" name="Rounded Rectangle 148">
                <a:extLst>
                  <a:ext uri="{FF2B5EF4-FFF2-40B4-BE49-F238E27FC236}">
                    <a16:creationId xmlns:a16="http://schemas.microsoft.com/office/drawing/2014/main" id="{61243B09-E29B-4D3D-8A06-2A9EBA582BDA}"/>
                  </a:ext>
                </a:extLst>
              </xdr:cNvPr>
              <xdr:cNvSpPr/>
            </xdr:nvSpPr>
            <xdr:spPr>
              <a:xfrm>
                <a:off x="6171005" y="2771775"/>
                <a:ext cx="658368" cy="365760"/>
              </a:xfrm>
              <a:prstGeom prst="roundRect">
                <a:avLst/>
              </a:prstGeom>
              <a:solidFill>
                <a:schemeClr val="bg1"/>
              </a:solidFill>
              <a:ln w="19050">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4ABF35D-91B4-4434-99B1-64E6E5D76F6E}" type="TxLink">
                  <a:rPr lang="en-US" sz="800" b="1" i="0" u="none" strike="noStrike">
                    <a:solidFill>
                      <a:schemeClr val="accent5">
                        <a:lumMod val="50000"/>
                      </a:schemeClr>
                    </a:solidFill>
                    <a:latin typeface="Century Gothic"/>
                  </a:rPr>
                  <a:pPr algn="ctr"/>
                  <a:t>All Beds
72 - 16.7%</a:t>
                </a:fld>
                <a:endParaRPr lang="en-US" sz="800" b="1">
                  <a:solidFill>
                    <a:schemeClr val="accent5">
                      <a:lumMod val="50000"/>
                    </a:schemeClr>
                  </a:solidFill>
                </a:endParaRPr>
              </a:p>
            </xdr:txBody>
          </xdr:sp>
          <xdr:sp macro="" textlink="Chart!F129">
            <xdr:nvSpPr>
              <xdr:cNvPr id="362" name="Rounded Rectangle 149">
                <a:extLst>
                  <a:ext uri="{FF2B5EF4-FFF2-40B4-BE49-F238E27FC236}">
                    <a16:creationId xmlns:a16="http://schemas.microsoft.com/office/drawing/2014/main" id="{0D7AB137-8EEE-45EC-9051-476056559DC7}"/>
                  </a:ext>
                </a:extLst>
              </xdr:cNvPr>
              <xdr:cNvSpPr/>
            </xdr:nvSpPr>
            <xdr:spPr>
              <a:xfrm>
                <a:off x="6920524" y="2771775"/>
                <a:ext cx="640080" cy="36576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6D68454-7930-4AC1-B1D2-A749C1D3AB5B}" type="TxLink">
                  <a:rPr lang="en-US" sz="800" b="0" i="0" u="none" strike="noStrike">
                    <a:solidFill>
                      <a:schemeClr val="bg1">
                        <a:lumMod val="100000"/>
                      </a:schemeClr>
                    </a:solidFill>
                    <a:latin typeface="Century Gothic"/>
                  </a:rPr>
                  <a:pPr algn="ctr"/>
                  <a:t>Max COVID 
60 - 100.0%</a:t>
                </a:fld>
                <a:endParaRPr lang="en-US" sz="800" b="0">
                  <a:solidFill>
                    <a:schemeClr val="bg1">
                      <a:lumMod val="100000"/>
                    </a:schemeClr>
                  </a:solidFill>
                </a:endParaRPr>
              </a:p>
            </xdr:txBody>
          </xdr:sp>
          <xdr:sp macro="" textlink="Chart!F131">
            <xdr:nvSpPr>
              <xdr:cNvPr id="363" name="Rounded Rectangle 150">
                <a:extLst>
                  <a:ext uri="{FF2B5EF4-FFF2-40B4-BE49-F238E27FC236}">
                    <a16:creationId xmlns:a16="http://schemas.microsoft.com/office/drawing/2014/main" id="{B3606BCD-9633-4E55-AC2C-80B07E0CFBA1}"/>
                  </a:ext>
                </a:extLst>
              </xdr:cNvPr>
              <xdr:cNvSpPr/>
            </xdr:nvSpPr>
            <xdr:spPr>
              <a:xfrm>
                <a:off x="8275493" y="2771775"/>
                <a:ext cx="658368" cy="365760"/>
              </a:xfrm>
              <a:prstGeom prst="roundRect">
                <a:avLst/>
              </a:prstGeom>
              <a:solidFill>
                <a:schemeClr val="bg1"/>
              </a:solidFill>
              <a:ln w="19050">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2145582-F4A4-4708-AE87-75C91A4484A7}" type="TxLink">
                  <a:rPr lang="en-US" sz="800" b="1" i="0" u="none" strike="noStrike">
                    <a:solidFill>
                      <a:schemeClr val="accent5"/>
                    </a:solidFill>
                    <a:latin typeface="Century Gothic"/>
                  </a:rPr>
                  <a:pPr algn="ctr"/>
                  <a:t>All Beds
309 - 19.4%</a:t>
                </a:fld>
                <a:endParaRPr lang="en-US" sz="800" b="1">
                  <a:solidFill>
                    <a:schemeClr val="accent5"/>
                  </a:solidFill>
                </a:endParaRPr>
              </a:p>
            </xdr:txBody>
          </xdr:sp>
          <xdr:sp macro="" textlink="Chart!G118">
            <xdr:nvSpPr>
              <xdr:cNvPr id="364" name="Rounded Rectangle 151">
                <a:extLst>
                  <a:ext uri="{FF2B5EF4-FFF2-40B4-BE49-F238E27FC236}">
                    <a16:creationId xmlns:a16="http://schemas.microsoft.com/office/drawing/2014/main" id="{E88BED83-0A17-459A-8EEA-DF6F434ACFB9}"/>
                  </a:ext>
                </a:extLst>
              </xdr:cNvPr>
              <xdr:cNvSpPr/>
            </xdr:nvSpPr>
            <xdr:spPr>
              <a:xfrm>
                <a:off x="9043895" y="2771775"/>
                <a:ext cx="640080" cy="36576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A5B7F3D-3A4F-4669-8CDB-F7ECC2C523E4}" type="TxLink">
                  <a:rPr lang="en-US" sz="800" b="0" i="0" u="none" strike="noStrike">
                    <a:solidFill>
                      <a:schemeClr val="bg1">
                        <a:lumMod val="100000"/>
                      </a:schemeClr>
                    </a:solidFill>
                    <a:latin typeface="Century Gothic"/>
                  </a:rPr>
                  <a:pPr algn="ctr"/>
                  <a:t>Max COVID 
34 - 35.3%</a:t>
                </a:fld>
                <a:endParaRPr lang="en-US" sz="800" b="0">
                  <a:solidFill>
                    <a:schemeClr val="bg1">
                      <a:lumMod val="100000"/>
                    </a:schemeClr>
                  </a:solidFill>
                </a:endParaRPr>
              </a:p>
            </xdr:txBody>
          </xdr:sp>
          <xdr:sp macro="" textlink="Chart!G120">
            <xdr:nvSpPr>
              <xdr:cNvPr id="365" name="Rounded Rectangle 152">
                <a:extLst>
                  <a:ext uri="{FF2B5EF4-FFF2-40B4-BE49-F238E27FC236}">
                    <a16:creationId xmlns:a16="http://schemas.microsoft.com/office/drawing/2014/main" id="{8F35D534-A97C-47F2-99B3-FE5FED86D784}"/>
                  </a:ext>
                </a:extLst>
              </xdr:cNvPr>
              <xdr:cNvSpPr/>
            </xdr:nvSpPr>
            <xdr:spPr>
              <a:xfrm>
                <a:off x="10418148" y="2771775"/>
                <a:ext cx="658368" cy="365760"/>
              </a:xfrm>
              <a:prstGeom prst="roundRect">
                <a:avLst/>
              </a:prstGeom>
              <a:solidFill>
                <a:schemeClr val="bg1"/>
              </a:solidFill>
              <a:ln w="1905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393EA86-DE32-4D32-80CD-A996B0F29287}" type="TxLink">
                  <a:rPr lang="en-US" sz="800" b="1" i="0" u="none" strike="noStrike">
                    <a:solidFill>
                      <a:schemeClr val="accent6">
                        <a:lumMod val="75000"/>
                      </a:schemeClr>
                    </a:solidFill>
                    <a:latin typeface="Century Gothic"/>
                  </a:rPr>
                  <a:pPr algn="ctr"/>
                  <a:t>All Beds
72 - 16.7%</a:t>
                </a:fld>
                <a:endParaRPr lang="en-US" sz="800" b="1">
                  <a:solidFill>
                    <a:schemeClr val="accent6">
                      <a:lumMod val="75000"/>
                    </a:schemeClr>
                  </a:solidFill>
                </a:endParaRPr>
              </a:p>
            </xdr:txBody>
          </xdr:sp>
          <xdr:sp macro="" textlink="Chart!G129">
            <xdr:nvSpPr>
              <xdr:cNvPr id="366" name="Rounded Rectangle 153">
                <a:extLst>
                  <a:ext uri="{FF2B5EF4-FFF2-40B4-BE49-F238E27FC236}">
                    <a16:creationId xmlns:a16="http://schemas.microsoft.com/office/drawing/2014/main" id="{443203C4-95D3-4E16-A67B-EA6ED9A1F61C}"/>
                  </a:ext>
                </a:extLst>
              </xdr:cNvPr>
              <xdr:cNvSpPr/>
            </xdr:nvSpPr>
            <xdr:spPr>
              <a:xfrm>
                <a:off x="11166501" y="2771775"/>
                <a:ext cx="640080" cy="36576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267F17D-E172-4D38-B282-69BEA72A62B7}" type="TxLink">
                  <a:rPr lang="en-US" sz="800" b="0" i="0" u="none" strike="noStrike">
                    <a:solidFill>
                      <a:schemeClr val="bg1">
                        <a:lumMod val="100000"/>
                      </a:schemeClr>
                    </a:solidFill>
                    <a:latin typeface="Century Gothic"/>
                  </a:rPr>
                  <a:pPr algn="ctr"/>
                  <a:t>Max COVID 
60 - 100.0%</a:t>
                </a:fld>
                <a:endParaRPr lang="en-US" sz="800" b="0">
                  <a:solidFill>
                    <a:schemeClr val="bg1">
                      <a:lumMod val="100000"/>
                    </a:schemeClr>
                  </a:solidFill>
                </a:endParaRPr>
              </a:p>
            </xdr:txBody>
          </xdr:sp>
          <xdr:sp macro="" textlink="Chart!G131">
            <xdr:nvSpPr>
              <xdr:cNvPr id="367" name="Rounded Rectangle 154">
                <a:extLst>
                  <a:ext uri="{FF2B5EF4-FFF2-40B4-BE49-F238E27FC236}">
                    <a16:creationId xmlns:a16="http://schemas.microsoft.com/office/drawing/2014/main" id="{317A7496-A852-4D1D-A39E-5475BED468EC}"/>
                  </a:ext>
                </a:extLst>
              </xdr:cNvPr>
              <xdr:cNvSpPr/>
            </xdr:nvSpPr>
            <xdr:spPr>
              <a:xfrm>
                <a:off x="12540521" y="2771775"/>
                <a:ext cx="658368" cy="365760"/>
              </a:xfrm>
              <a:prstGeom prst="roundRect">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B349D8C-07B1-46BB-934A-366E23AB913E}" type="TxLink">
                  <a:rPr lang="en-US" sz="800" b="1" i="0" u="none" strike="noStrike">
                    <a:solidFill>
                      <a:schemeClr val="accent6"/>
                    </a:solidFill>
                    <a:latin typeface="Century Gothic"/>
                  </a:rPr>
                  <a:pPr algn="ctr"/>
                  <a:t>All Beds
309 - 19.4%</a:t>
                </a:fld>
                <a:endParaRPr lang="en-US" sz="800" b="1">
                  <a:solidFill>
                    <a:schemeClr val="accent6"/>
                  </a:solidFill>
                </a:endParaRPr>
              </a:p>
            </xdr:txBody>
          </xdr:sp>
          <xdr:sp macro="" textlink="Chart!H118">
            <xdr:nvSpPr>
              <xdr:cNvPr id="368" name="Rounded Rectangle 155">
                <a:extLst>
                  <a:ext uri="{FF2B5EF4-FFF2-40B4-BE49-F238E27FC236}">
                    <a16:creationId xmlns:a16="http://schemas.microsoft.com/office/drawing/2014/main" id="{CD610F56-5A8E-4493-932B-CFBD5E3AB7E2}"/>
                  </a:ext>
                </a:extLst>
              </xdr:cNvPr>
              <xdr:cNvSpPr/>
            </xdr:nvSpPr>
            <xdr:spPr>
              <a:xfrm>
                <a:off x="13298633" y="2771775"/>
                <a:ext cx="640080" cy="36576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5D0813D-8D0C-46D6-9C66-7D931B6B3AE5}" type="TxLink">
                  <a:rPr lang="en-US" sz="800" b="0" i="0" u="none" strike="noStrike">
                    <a:solidFill>
                      <a:schemeClr val="bg1">
                        <a:lumMod val="100000"/>
                      </a:schemeClr>
                    </a:solidFill>
                    <a:latin typeface="Century Gothic"/>
                  </a:rPr>
                  <a:pPr algn="ctr"/>
                  <a:t>Max COVID 
34 - 35.3%</a:t>
                </a:fld>
                <a:endParaRPr lang="en-US" sz="800" b="0">
                  <a:solidFill>
                    <a:schemeClr val="bg1">
                      <a:lumMod val="100000"/>
                    </a:schemeClr>
                  </a:solidFill>
                </a:endParaRPr>
              </a:p>
            </xdr:txBody>
          </xdr:sp>
          <xdr:sp macro="" textlink="Chart!H120">
            <xdr:nvSpPr>
              <xdr:cNvPr id="369" name="Rounded Rectangle 156">
                <a:extLst>
                  <a:ext uri="{FF2B5EF4-FFF2-40B4-BE49-F238E27FC236}">
                    <a16:creationId xmlns:a16="http://schemas.microsoft.com/office/drawing/2014/main" id="{DA974F0A-B063-4238-9319-40748C9AB107}"/>
                  </a:ext>
                </a:extLst>
              </xdr:cNvPr>
              <xdr:cNvSpPr/>
            </xdr:nvSpPr>
            <xdr:spPr>
              <a:xfrm>
                <a:off x="14663127" y="2771775"/>
                <a:ext cx="658368" cy="365760"/>
              </a:xfrm>
              <a:prstGeom prst="roundRect">
                <a:avLst/>
              </a:prstGeom>
              <a:solidFill>
                <a:schemeClr val="bg1"/>
              </a:solidFill>
              <a:ln w="19050">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F53FB7A-0716-4CAF-819D-4F6F6C35AD90}" type="TxLink">
                  <a:rPr lang="en-US" sz="800" b="1" i="0" u="none" strike="noStrike">
                    <a:solidFill>
                      <a:schemeClr val="accent4">
                        <a:lumMod val="50000"/>
                      </a:schemeClr>
                    </a:solidFill>
                    <a:latin typeface="Century Gothic"/>
                  </a:rPr>
                  <a:pPr algn="ctr"/>
                  <a:t>All Beds
72 - 16.7%</a:t>
                </a:fld>
                <a:endParaRPr lang="en-US" sz="800" b="1">
                  <a:solidFill>
                    <a:schemeClr val="accent4">
                      <a:lumMod val="50000"/>
                    </a:schemeClr>
                  </a:solidFill>
                </a:endParaRPr>
              </a:p>
            </xdr:txBody>
          </xdr:sp>
          <xdr:sp macro="" textlink="Chart!H129">
            <xdr:nvSpPr>
              <xdr:cNvPr id="370" name="Rounded Rectangle 157">
                <a:extLst>
                  <a:ext uri="{FF2B5EF4-FFF2-40B4-BE49-F238E27FC236}">
                    <a16:creationId xmlns:a16="http://schemas.microsoft.com/office/drawing/2014/main" id="{311D03ED-F3D7-41EB-AE24-FE02ACA2B686}"/>
                  </a:ext>
                </a:extLst>
              </xdr:cNvPr>
              <xdr:cNvSpPr/>
            </xdr:nvSpPr>
            <xdr:spPr>
              <a:xfrm>
                <a:off x="15401490" y="2771775"/>
                <a:ext cx="640080" cy="36576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71ED4AA-0A16-465F-96DE-B218FF7629AE}" type="TxLink">
                  <a:rPr lang="en-US" sz="800" b="0" i="0" u="none" strike="noStrike">
                    <a:solidFill>
                      <a:schemeClr val="bg1">
                        <a:lumMod val="100000"/>
                      </a:schemeClr>
                    </a:solidFill>
                    <a:latin typeface="Century Gothic"/>
                  </a:rPr>
                  <a:pPr algn="ctr"/>
                  <a:t>Max COVID 
60 - 100.0%</a:t>
                </a:fld>
                <a:endParaRPr lang="en-US" sz="800" b="0">
                  <a:solidFill>
                    <a:schemeClr val="bg1">
                      <a:lumMod val="100000"/>
                    </a:schemeClr>
                  </a:solidFill>
                </a:endParaRPr>
              </a:p>
            </xdr:txBody>
          </xdr:sp>
          <xdr:sp macro="" textlink="Chart!H131">
            <xdr:nvSpPr>
              <xdr:cNvPr id="371" name="Rounded Rectangle 158">
                <a:extLst>
                  <a:ext uri="{FF2B5EF4-FFF2-40B4-BE49-F238E27FC236}">
                    <a16:creationId xmlns:a16="http://schemas.microsoft.com/office/drawing/2014/main" id="{EC0F4845-191E-4E10-810D-62980B75049D}"/>
                  </a:ext>
                </a:extLst>
              </xdr:cNvPr>
              <xdr:cNvSpPr/>
            </xdr:nvSpPr>
            <xdr:spPr>
              <a:xfrm>
                <a:off x="16785733" y="2771775"/>
                <a:ext cx="658368" cy="365760"/>
              </a:xfrm>
              <a:prstGeom prst="roundRect">
                <a:avLst/>
              </a:prstGeom>
              <a:solidFill>
                <a:schemeClr val="bg1"/>
              </a:solidFill>
              <a:ln w="19050">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C6562D3-9205-4AA3-BFE1-F84925A7A663}" type="TxLink">
                  <a:rPr lang="en-US" sz="800" b="1" i="0" u="none" strike="noStrike">
                    <a:solidFill>
                      <a:schemeClr val="accent4"/>
                    </a:solidFill>
                    <a:latin typeface="Century Gothic"/>
                  </a:rPr>
                  <a:pPr algn="ctr"/>
                  <a:t>All Beds
309 - 19.4%</a:t>
                </a:fld>
                <a:endParaRPr lang="en-US" sz="800" b="1">
                  <a:solidFill>
                    <a:schemeClr val="accent4"/>
                  </a:solidFill>
                </a:endParaRPr>
              </a:p>
            </xdr:txBody>
          </xdr:sp>
          <xdr:sp macro="" textlink="Chart!F117">
            <xdr:nvSpPr>
              <xdr:cNvPr id="372" name="Rounded Rectangle 159">
                <a:extLst>
                  <a:ext uri="{FF2B5EF4-FFF2-40B4-BE49-F238E27FC236}">
                    <a16:creationId xmlns:a16="http://schemas.microsoft.com/office/drawing/2014/main" id="{E1C20780-FF71-4F67-96C4-0521CC98C506}"/>
                  </a:ext>
                </a:extLst>
              </xdr:cNvPr>
              <xdr:cNvSpPr/>
            </xdr:nvSpPr>
            <xdr:spPr>
              <a:xfrm>
                <a:off x="5456097" y="1362075"/>
                <a:ext cx="711946" cy="22860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FE38E5C-210B-4EB6-A85C-09FE2BB66B79}" type="TxLink">
                  <a:rPr lang="en-US" sz="1400" b="1" i="0" u="none" strike="noStrike">
                    <a:solidFill>
                      <a:schemeClr val="bg1">
                        <a:lumMod val="100000"/>
                      </a:schemeClr>
                    </a:solidFill>
                    <a:latin typeface="Century Gothic"/>
                  </a:rPr>
                  <a:pPr algn="ctr"/>
                  <a:t>12</a:t>
                </a:fld>
                <a:endParaRPr lang="en-US" sz="1400" b="1">
                  <a:solidFill>
                    <a:schemeClr val="bg1">
                      <a:lumMod val="100000"/>
                    </a:schemeClr>
                  </a:solidFill>
                </a:endParaRPr>
              </a:p>
            </xdr:txBody>
          </xdr:sp>
          <xdr:sp macro="" textlink="Chart!F128">
            <xdr:nvSpPr>
              <xdr:cNvPr id="373" name="Rounded Rectangle 160">
                <a:extLst>
                  <a:ext uri="{FF2B5EF4-FFF2-40B4-BE49-F238E27FC236}">
                    <a16:creationId xmlns:a16="http://schemas.microsoft.com/office/drawing/2014/main" id="{2B766CAA-4105-4997-83EF-5A7D510A6F79}"/>
                  </a:ext>
                </a:extLst>
              </xdr:cNvPr>
              <xdr:cNvSpPr/>
            </xdr:nvSpPr>
            <xdr:spPr>
              <a:xfrm>
                <a:off x="7578959" y="1362075"/>
                <a:ext cx="711946" cy="22860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B040753-520A-4A72-ABCB-316755168902}" type="TxLink">
                  <a:rPr lang="en-US" sz="1400" b="1" i="0" u="none" strike="noStrike">
                    <a:solidFill>
                      <a:schemeClr val="bg1">
                        <a:lumMod val="100000"/>
                      </a:schemeClr>
                    </a:solidFill>
                    <a:latin typeface="Century Gothic"/>
                  </a:rPr>
                  <a:pPr algn="ctr"/>
                  <a:t>60</a:t>
                </a:fld>
                <a:endParaRPr lang="en-US" sz="1400" b="1">
                  <a:solidFill>
                    <a:schemeClr val="bg1">
                      <a:lumMod val="100000"/>
                    </a:schemeClr>
                  </a:solidFill>
                </a:endParaRPr>
              </a:p>
            </xdr:txBody>
          </xdr:sp>
          <xdr:sp macro="" textlink="Chart!G117">
            <xdr:nvSpPr>
              <xdr:cNvPr id="374" name="Rounded Rectangle 161">
                <a:extLst>
                  <a:ext uri="{FF2B5EF4-FFF2-40B4-BE49-F238E27FC236}">
                    <a16:creationId xmlns:a16="http://schemas.microsoft.com/office/drawing/2014/main" id="{EAED233C-1074-49BC-B7F3-9C41F8E919CB}"/>
                  </a:ext>
                </a:extLst>
              </xdr:cNvPr>
              <xdr:cNvSpPr/>
            </xdr:nvSpPr>
            <xdr:spPr>
              <a:xfrm>
                <a:off x="9701820" y="1362075"/>
                <a:ext cx="711946" cy="22860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CCB1085-2CE6-4CC0-AD4E-186B89640B60}" type="TxLink">
                  <a:rPr lang="en-US" sz="1400" b="1" i="0" u="none" strike="noStrike">
                    <a:solidFill>
                      <a:schemeClr val="bg1">
                        <a:lumMod val="100000"/>
                      </a:schemeClr>
                    </a:solidFill>
                    <a:latin typeface="Century Gothic"/>
                  </a:rPr>
                  <a:pPr algn="ctr"/>
                  <a:t>12</a:t>
                </a:fld>
                <a:endParaRPr lang="en-US" sz="1400" b="1">
                  <a:solidFill>
                    <a:schemeClr val="bg1">
                      <a:lumMod val="100000"/>
                    </a:schemeClr>
                  </a:solidFill>
                </a:endParaRPr>
              </a:p>
            </xdr:txBody>
          </xdr:sp>
          <xdr:sp macro="" textlink="Chart!G128">
            <xdr:nvSpPr>
              <xdr:cNvPr id="375" name="Rounded Rectangle 162">
                <a:extLst>
                  <a:ext uri="{FF2B5EF4-FFF2-40B4-BE49-F238E27FC236}">
                    <a16:creationId xmlns:a16="http://schemas.microsoft.com/office/drawing/2014/main" id="{CF996FB8-19FE-4C95-95AC-A189CF75846D}"/>
                  </a:ext>
                </a:extLst>
              </xdr:cNvPr>
              <xdr:cNvSpPr/>
            </xdr:nvSpPr>
            <xdr:spPr>
              <a:xfrm>
                <a:off x="11824681" y="1362075"/>
                <a:ext cx="711946" cy="22860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2F01AF9-38CA-46A6-B796-EC41A8754C6B}" type="TxLink">
                  <a:rPr lang="en-US" sz="1400" b="1" i="0" u="none" strike="noStrike">
                    <a:solidFill>
                      <a:schemeClr val="bg1">
                        <a:lumMod val="100000"/>
                      </a:schemeClr>
                    </a:solidFill>
                    <a:latin typeface="Century Gothic"/>
                  </a:rPr>
                  <a:pPr algn="ctr"/>
                  <a:t>60</a:t>
                </a:fld>
                <a:endParaRPr lang="en-US" sz="1400" b="1">
                  <a:solidFill>
                    <a:schemeClr val="bg1">
                      <a:lumMod val="100000"/>
                    </a:schemeClr>
                  </a:solidFill>
                </a:endParaRPr>
              </a:p>
            </xdr:txBody>
          </xdr:sp>
          <xdr:sp macro="" textlink="Chart!H117">
            <xdr:nvSpPr>
              <xdr:cNvPr id="376" name="Rounded Rectangle 163">
                <a:extLst>
                  <a:ext uri="{FF2B5EF4-FFF2-40B4-BE49-F238E27FC236}">
                    <a16:creationId xmlns:a16="http://schemas.microsoft.com/office/drawing/2014/main" id="{5D3304E6-09EE-4F65-8872-C5C754BB3E41}"/>
                  </a:ext>
                </a:extLst>
              </xdr:cNvPr>
              <xdr:cNvSpPr/>
            </xdr:nvSpPr>
            <xdr:spPr>
              <a:xfrm>
                <a:off x="13947542" y="1362075"/>
                <a:ext cx="711946" cy="22860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352B633-611C-440B-89AF-B12619FE2EE9}" type="TxLink">
                  <a:rPr lang="en-US" sz="1400" b="1" i="0" u="none" strike="noStrike">
                    <a:solidFill>
                      <a:schemeClr val="bg1">
                        <a:lumMod val="100000"/>
                      </a:schemeClr>
                    </a:solidFill>
                    <a:latin typeface="Century Gothic"/>
                  </a:rPr>
                  <a:pPr algn="ctr"/>
                  <a:t>12</a:t>
                </a:fld>
                <a:endParaRPr lang="en-US" sz="1400" b="1">
                  <a:solidFill>
                    <a:schemeClr val="bg1">
                      <a:lumMod val="100000"/>
                    </a:schemeClr>
                  </a:solidFill>
                </a:endParaRPr>
              </a:p>
            </xdr:txBody>
          </xdr:sp>
          <xdr:sp macro="" textlink="Chart!H128">
            <xdr:nvSpPr>
              <xdr:cNvPr id="377" name="Rounded Rectangle 164">
                <a:extLst>
                  <a:ext uri="{FF2B5EF4-FFF2-40B4-BE49-F238E27FC236}">
                    <a16:creationId xmlns:a16="http://schemas.microsoft.com/office/drawing/2014/main" id="{07C2C12D-45B2-4305-AD9C-E5A3760F8405}"/>
                  </a:ext>
                </a:extLst>
              </xdr:cNvPr>
              <xdr:cNvSpPr/>
            </xdr:nvSpPr>
            <xdr:spPr>
              <a:xfrm>
                <a:off x="16070404" y="1362075"/>
                <a:ext cx="711946" cy="22860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6BBB954-484A-405A-ACA1-6AE24E00C003}" type="TxLink">
                  <a:rPr lang="en-US" sz="1400" b="1" i="0" u="none" strike="noStrike">
                    <a:solidFill>
                      <a:schemeClr val="bg1">
                        <a:lumMod val="100000"/>
                      </a:schemeClr>
                    </a:solidFill>
                    <a:latin typeface="Century Gothic"/>
                  </a:rPr>
                  <a:pPr algn="ctr"/>
                  <a:t>60</a:t>
                </a:fld>
                <a:endParaRPr lang="en-US" sz="1400" b="1">
                  <a:solidFill>
                    <a:schemeClr val="bg1">
                      <a:lumMod val="100000"/>
                    </a:schemeClr>
                  </a:solidFill>
                </a:endParaRPr>
              </a:p>
            </xdr:txBody>
          </xdr:sp>
          <xdr:sp macro="" textlink="Chart!F132">
            <xdr:nvSpPr>
              <xdr:cNvPr id="378" name="Rounded Rectangle 165">
                <a:extLst>
                  <a:ext uri="{FF2B5EF4-FFF2-40B4-BE49-F238E27FC236}">
                    <a16:creationId xmlns:a16="http://schemas.microsoft.com/office/drawing/2014/main" id="{C2C4DF6A-C6CF-45E9-92CA-DB6E7939D11C}"/>
                  </a:ext>
                </a:extLst>
              </xdr:cNvPr>
              <xdr:cNvSpPr/>
            </xdr:nvSpPr>
            <xdr:spPr>
              <a:xfrm>
                <a:off x="6386040" y="1362075"/>
                <a:ext cx="960120" cy="459205"/>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E75902AE-DF29-4BC0-A05A-79934087EDB9}" type="TxLink">
                  <a:rPr lang="en-US" sz="1200" b="1" i="0" u="none" strike="noStrike">
                    <a:solidFill>
                      <a:schemeClr val="bg1"/>
                    </a:solidFill>
                    <a:latin typeface="Century Gothic"/>
                  </a:rPr>
                  <a:pPr algn="ctr"/>
                  <a:t>Total COVID
72</a:t>
                </a:fld>
                <a:endParaRPr lang="en-US" sz="1200" b="1">
                  <a:solidFill>
                    <a:schemeClr val="bg1"/>
                  </a:solidFill>
                </a:endParaRPr>
              </a:p>
            </xdr:txBody>
          </xdr:sp>
          <xdr:sp macro="" textlink="Chart!G132">
            <xdr:nvSpPr>
              <xdr:cNvPr id="379" name="Rounded Rectangle 167">
                <a:extLst>
                  <a:ext uri="{FF2B5EF4-FFF2-40B4-BE49-F238E27FC236}">
                    <a16:creationId xmlns:a16="http://schemas.microsoft.com/office/drawing/2014/main" id="{05D70DDF-B60A-4E6C-8C73-BB69E915224A}"/>
                  </a:ext>
                </a:extLst>
              </xdr:cNvPr>
              <xdr:cNvSpPr/>
            </xdr:nvSpPr>
            <xdr:spPr>
              <a:xfrm>
                <a:off x="10642010" y="1362075"/>
                <a:ext cx="960120" cy="459205"/>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FE1E94E-24A6-4470-92EA-2453747CCE96}" type="TxLink">
                  <a:rPr lang="en-US" sz="1200" b="1" i="0" u="none" strike="noStrike">
                    <a:solidFill>
                      <a:schemeClr val="bg1"/>
                    </a:solidFill>
                    <a:latin typeface="Century Gothic"/>
                  </a:rPr>
                  <a:pPr algn="ctr"/>
                  <a:t>Total COVID
72</a:t>
                </a:fld>
                <a:endParaRPr lang="en-US" sz="1200" b="1">
                  <a:solidFill>
                    <a:schemeClr val="bg1"/>
                  </a:solidFill>
                </a:endParaRPr>
              </a:p>
            </xdr:txBody>
          </xdr:sp>
          <xdr:sp macro="" textlink="Chart!H132">
            <xdr:nvSpPr>
              <xdr:cNvPr id="380" name="Rounded Rectangle 168">
                <a:extLst>
                  <a:ext uri="{FF2B5EF4-FFF2-40B4-BE49-F238E27FC236}">
                    <a16:creationId xmlns:a16="http://schemas.microsoft.com/office/drawing/2014/main" id="{D07966F1-44CD-420C-9325-A471FE071B46}"/>
                  </a:ext>
                </a:extLst>
              </xdr:cNvPr>
              <xdr:cNvSpPr/>
            </xdr:nvSpPr>
            <xdr:spPr>
              <a:xfrm>
                <a:off x="14887731" y="1362075"/>
                <a:ext cx="960120" cy="459205"/>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9E2B6ED-2AF2-4DD4-8C58-D1D62FC38EDB}" type="TxLink">
                  <a:rPr lang="en-US" sz="1200" b="1" i="0" u="none" strike="noStrike">
                    <a:solidFill>
                      <a:schemeClr val="bg1"/>
                    </a:solidFill>
                    <a:latin typeface="Century Gothic"/>
                  </a:rPr>
                  <a:pPr algn="ctr"/>
                  <a:t>Total COVID
72</a:t>
                </a:fld>
                <a:endParaRPr lang="en-US" sz="1200" b="1">
                  <a:solidFill>
                    <a:schemeClr val="bg1"/>
                  </a:solidFill>
                </a:endParaRPr>
              </a:p>
            </xdr:txBody>
          </xdr:sp>
        </xdr:grpSp>
      </xdr:grpSp>
      <mc:AlternateContent xmlns:mc="http://schemas.openxmlformats.org/markup-compatibility/2006" xmlns:a14="http://schemas.microsoft.com/office/drawing/2010/main">
        <mc:Choice Requires="a14">
          <xdr:pic>
            <xdr:nvPicPr>
              <xdr:cNvPr id="270" name="Picture 269">
                <a:extLst>
                  <a:ext uri="{FF2B5EF4-FFF2-40B4-BE49-F238E27FC236}">
                    <a16:creationId xmlns:a16="http://schemas.microsoft.com/office/drawing/2014/main" id="{C49CFD22-7F2D-451C-88D6-D23C50BB3606}"/>
                  </a:ext>
                </a:extLst>
              </xdr:cNvPr>
              <xdr:cNvPicPr>
                <a:picLocks noChangeAspect="1" noChangeArrowheads="1"/>
                <a:extLst>
                  <a:ext uri="{84589F7E-364E-4C9E-8A38-B11213B215E9}">
                    <a14:cameraTool cellRange="Labels!$A$5" spid="_x0000_s6256"/>
                  </a:ext>
                </a:extLst>
              </xdr:cNvPicPr>
            </xdr:nvPicPr>
            <xdr:blipFill>
              <a:blip xmlns:r="http://schemas.openxmlformats.org/officeDocument/2006/relationships" r:embed="rId19"/>
              <a:srcRect/>
              <a:stretch>
                <a:fillRect/>
              </a:stretch>
            </xdr:blipFill>
            <xdr:spPr bwMode="auto">
              <a:xfrm>
                <a:off x="112938" y="5905500"/>
                <a:ext cx="321541" cy="1328057"/>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mc:Choice>
        <mc:Fallback xmlns=""/>
      </mc:AlternateContent>
      <xdr:sp macro="" textlink="Chart!E119">
        <xdr:nvSpPr>
          <xdr:cNvPr id="279" name="Rounded Rectangle 142">
            <a:extLst>
              <a:ext uri="{FF2B5EF4-FFF2-40B4-BE49-F238E27FC236}">
                <a16:creationId xmlns:a16="http://schemas.microsoft.com/office/drawing/2014/main" id="{B91D0393-70B0-4532-B698-40278DB7A544}"/>
              </a:ext>
            </a:extLst>
          </xdr:cNvPr>
          <xdr:cNvSpPr/>
        </xdr:nvSpPr>
        <xdr:spPr>
          <a:xfrm>
            <a:off x="1224917" y="7054559"/>
            <a:ext cx="640080" cy="357565"/>
          </a:xfrm>
          <a:prstGeom prst="roundRect">
            <a:avLst/>
          </a:prstGeom>
          <a:pattFill prst="pct5">
            <a:fgClr>
              <a:schemeClr val="accent1">
                <a:lumMod val="50000"/>
              </a:schemeClr>
            </a:fgClr>
            <a:bgClr>
              <a:schemeClr val="bg1"/>
            </a:bgClr>
          </a:patt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D32663C-2900-4206-8BA8-4FB5B86636FF}" type="TxLink">
              <a:rPr lang="en-US" sz="800" b="0" i="0" u="none" strike="noStrike">
                <a:solidFill>
                  <a:schemeClr val="accent1">
                    <a:lumMod val="50000"/>
                  </a:schemeClr>
                </a:solidFill>
                <a:latin typeface="Century Gothic"/>
              </a:rPr>
              <a:pPr algn="ctr"/>
              <a:t>Crisis COVID 
34 - 35.3%</a:t>
            </a:fld>
            <a:endParaRPr lang="en-US" sz="600" b="0">
              <a:solidFill>
                <a:schemeClr val="accent1">
                  <a:lumMod val="50000"/>
                </a:schemeClr>
              </a:solidFill>
            </a:endParaRPr>
          </a:p>
        </xdr:txBody>
      </xdr:sp>
      <xdr:sp macro="" textlink="Chart!E130">
        <xdr:nvSpPr>
          <xdr:cNvPr id="280" name="Rounded Rectangle 144">
            <a:extLst>
              <a:ext uri="{FF2B5EF4-FFF2-40B4-BE49-F238E27FC236}">
                <a16:creationId xmlns:a16="http://schemas.microsoft.com/office/drawing/2014/main" id="{B62A1308-03BF-4911-8CEA-E74ED6A67B1C}"/>
              </a:ext>
            </a:extLst>
          </xdr:cNvPr>
          <xdr:cNvSpPr/>
        </xdr:nvSpPr>
        <xdr:spPr>
          <a:xfrm>
            <a:off x="3357049" y="7054559"/>
            <a:ext cx="640080" cy="357565"/>
          </a:xfrm>
          <a:prstGeom prst="roundRect">
            <a:avLst/>
          </a:prstGeom>
          <a:pattFill prst="pct5">
            <a:fgClr>
              <a:schemeClr val="accent1"/>
            </a:fgClr>
            <a:bgClr>
              <a:schemeClr val="bg1"/>
            </a:bgClr>
          </a:patt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FD06F0D-FFE1-4D63-8055-5A396C4A0A99}" type="TxLink">
              <a:rPr lang="en-US" sz="800" b="0" i="0" u="none" strike="noStrike">
                <a:solidFill>
                  <a:schemeClr val="accent1"/>
                </a:solidFill>
                <a:latin typeface="Century Gothic"/>
              </a:rPr>
              <a:pPr algn="ctr"/>
              <a:t>Crisis COVID 
60 - 50.0%</a:t>
            </a:fld>
            <a:endParaRPr lang="en-US" sz="600" b="0">
              <a:solidFill>
                <a:schemeClr val="accent1"/>
              </a:solidFill>
            </a:endParaRPr>
          </a:p>
        </xdr:txBody>
      </xdr:sp>
      <xdr:sp macro="" textlink="Chart!F119">
        <xdr:nvSpPr>
          <xdr:cNvPr id="281" name="Rounded Rectangle 147">
            <a:extLst>
              <a:ext uri="{FF2B5EF4-FFF2-40B4-BE49-F238E27FC236}">
                <a16:creationId xmlns:a16="http://schemas.microsoft.com/office/drawing/2014/main" id="{D417FC39-E48B-40E3-AD5E-44421B07B6C0}"/>
              </a:ext>
            </a:extLst>
          </xdr:cNvPr>
          <xdr:cNvSpPr/>
        </xdr:nvSpPr>
        <xdr:spPr>
          <a:xfrm>
            <a:off x="5479699" y="7054559"/>
            <a:ext cx="640080" cy="357565"/>
          </a:xfrm>
          <a:prstGeom prst="roundRect">
            <a:avLst/>
          </a:prstGeom>
          <a:pattFill prst="pct5">
            <a:fgClr>
              <a:schemeClr val="accent5">
                <a:lumMod val="50000"/>
              </a:schemeClr>
            </a:fgClr>
            <a:bgClr>
              <a:schemeClr val="bg1"/>
            </a:bgClr>
          </a:patt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45810B1-59E4-405E-B02A-E0AE03B36648}" type="TxLink">
              <a:rPr lang="en-US" sz="800" b="0" i="0" u="none" strike="noStrike">
                <a:solidFill>
                  <a:schemeClr val="accent5">
                    <a:lumMod val="50000"/>
                  </a:schemeClr>
                </a:solidFill>
                <a:latin typeface="Century Gothic"/>
              </a:rPr>
              <a:pPr algn="ctr"/>
              <a:t>Crisis COVID 
34 - 35.3%</a:t>
            </a:fld>
            <a:endParaRPr lang="en-US" sz="600" b="0">
              <a:solidFill>
                <a:schemeClr val="accent5">
                  <a:lumMod val="50000"/>
                </a:schemeClr>
              </a:solidFill>
            </a:endParaRPr>
          </a:p>
        </xdr:txBody>
      </xdr:sp>
      <xdr:sp macro="" textlink="Chart!F130">
        <xdr:nvSpPr>
          <xdr:cNvPr id="282" name="Rounded Rectangle 149">
            <a:extLst>
              <a:ext uri="{FF2B5EF4-FFF2-40B4-BE49-F238E27FC236}">
                <a16:creationId xmlns:a16="http://schemas.microsoft.com/office/drawing/2014/main" id="{287C1A6A-6916-4F70-A4D1-160CFF5E2024}"/>
              </a:ext>
            </a:extLst>
          </xdr:cNvPr>
          <xdr:cNvSpPr/>
        </xdr:nvSpPr>
        <xdr:spPr>
          <a:xfrm>
            <a:off x="7598008" y="7054559"/>
            <a:ext cx="640080" cy="357565"/>
          </a:xfrm>
          <a:prstGeom prst="roundRect">
            <a:avLst/>
          </a:prstGeom>
          <a:pattFill prst="pct5">
            <a:fgClr>
              <a:schemeClr val="accent5"/>
            </a:fgClr>
            <a:bgClr>
              <a:schemeClr val="bg1"/>
            </a:bgClr>
          </a:patt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9045198-2A23-4107-9373-8CB4F74DB02A}" type="TxLink">
              <a:rPr lang="en-US" sz="800" b="0" i="0" u="none" strike="noStrike">
                <a:solidFill>
                  <a:schemeClr val="accent5"/>
                </a:solidFill>
                <a:latin typeface="Century Gothic"/>
              </a:rPr>
              <a:pPr algn="ctr"/>
              <a:t>Crisis COVID 
60 - 100.0%</a:t>
            </a:fld>
            <a:endParaRPr lang="en-US" sz="600" b="0">
              <a:solidFill>
                <a:schemeClr val="accent5"/>
              </a:solidFill>
            </a:endParaRPr>
          </a:p>
        </xdr:txBody>
      </xdr:sp>
      <xdr:sp macro="" textlink="Chart!G119">
        <xdr:nvSpPr>
          <xdr:cNvPr id="283" name="Rounded Rectangle 151">
            <a:extLst>
              <a:ext uri="{FF2B5EF4-FFF2-40B4-BE49-F238E27FC236}">
                <a16:creationId xmlns:a16="http://schemas.microsoft.com/office/drawing/2014/main" id="{57B407A4-F744-4C75-80B0-B2786433E4BF}"/>
              </a:ext>
            </a:extLst>
          </xdr:cNvPr>
          <xdr:cNvSpPr/>
        </xdr:nvSpPr>
        <xdr:spPr>
          <a:xfrm>
            <a:off x="9731022" y="7054559"/>
            <a:ext cx="640080" cy="357565"/>
          </a:xfrm>
          <a:prstGeom prst="roundRect">
            <a:avLst/>
          </a:prstGeom>
          <a:pattFill prst="pct5">
            <a:fgClr>
              <a:schemeClr val="accent6">
                <a:lumMod val="75000"/>
              </a:schemeClr>
            </a:fgClr>
            <a:bgClr>
              <a:schemeClr val="bg1"/>
            </a:bgClr>
          </a:patt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2ACB27F-A08B-4E2C-8A42-D74AE518153A}" type="TxLink">
              <a:rPr lang="en-US" sz="800" b="0" i="0" u="none" strike="noStrike">
                <a:solidFill>
                  <a:schemeClr val="accent6">
                    <a:lumMod val="50000"/>
                  </a:schemeClr>
                </a:solidFill>
                <a:latin typeface="Century Gothic"/>
              </a:rPr>
              <a:pPr algn="ctr"/>
              <a:t>Crisis COVID 
34 - 35.3%</a:t>
            </a:fld>
            <a:endParaRPr lang="en-US" sz="600" b="0">
              <a:solidFill>
                <a:schemeClr val="accent6">
                  <a:lumMod val="50000"/>
                </a:schemeClr>
              </a:solidFill>
            </a:endParaRPr>
          </a:p>
        </xdr:txBody>
      </xdr:sp>
      <xdr:sp macro="" textlink="Chart!G130">
        <xdr:nvSpPr>
          <xdr:cNvPr id="284" name="Rounded Rectangle 153">
            <a:extLst>
              <a:ext uri="{FF2B5EF4-FFF2-40B4-BE49-F238E27FC236}">
                <a16:creationId xmlns:a16="http://schemas.microsoft.com/office/drawing/2014/main" id="{43AAF061-6152-4093-9B7C-0F1A370ADC04}"/>
              </a:ext>
            </a:extLst>
          </xdr:cNvPr>
          <xdr:cNvSpPr/>
        </xdr:nvSpPr>
        <xdr:spPr>
          <a:xfrm>
            <a:off x="11853511" y="7054559"/>
            <a:ext cx="640080" cy="357565"/>
          </a:xfrm>
          <a:prstGeom prst="roundRect">
            <a:avLst/>
          </a:prstGeom>
          <a:pattFill prst="pct5">
            <a:fgClr>
              <a:schemeClr val="accent6"/>
            </a:fgClr>
            <a:bgClr>
              <a:schemeClr val="bg1"/>
            </a:bgClr>
          </a:patt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6C1D524-B05A-4CFD-9CCE-C0C7A2FD8098}" type="TxLink">
              <a:rPr lang="en-US" sz="800" b="0" i="0" u="none" strike="noStrike">
                <a:solidFill>
                  <a:schemeClr val="accent6"/>
                </a:solidFill>
                <a:latin typeface="Century Gothic"/>
              </a:rPr>
              <a:pPr algn="ctr"/>
              <a:t>Crisis COVID 
60 - 100.0%</a:t>
            </a:fld>
            <a:endParaRPr lang="en-US" sz="600" b="0">
              <a:solidFill>
                <a:schemeClr val="accent6"/>
              </a:solidFill>
            </a:endParaRPr>
          </a:p>
        </xdr:txBody>
      </xdr:sp>
      <xdr:sp macro="" textlink="Chart!H119">
        <xdr:nvSpPr>
          <xdr:cNvPr id="285" name="Rounded Rectangle 155">
            <a:extLst>
              <a:ext uri="{FF2B5EF4-FFF2-40B4-BE49-F238E27FC236}">
                <a16:creationId xmlns:a16="http://schemas.microsoft.com/office/drawing/2014/main" id="{9449F44A-6326-4C95-9A02-E477494C6B60}"/>
              </a:ext>
            </a:extLst>
          </xdr:cNvPr>
          <xdr:cNvSpPr/>
        </xdr:nvSpPr>
        <xdr:spPr>
          <a:xfrm>
            <a:off x="13980880" y="7054559"/>
            <a:ext cx="640080" cy="357565"/>
          </a:xfrm>
          <a:prstGeom prst="roundRect">
            <a:avLst/>
          </a:prstGeom>
          <a:pattFill prst="pct5">
            <a:fgClr>
              <a:schemeClr val="accent4">
                <a:lumMod val="50000"/>
              </a:schemeClr>
            </a:fgClr>
            <a:bgClr>
              <a:schemeClr val="bg1"/>
            </a:bgClr>
          </a:patt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E87CF7B-74BE-4FC4-AC17-69068B481A7C}" type="TxLink">
              <a:rPr lang="en-US" sz="800" b="0" i="0" u="none" strike="noStrike">
                <a:solidFill>
                  <a:schemeClr val="accent4">
                    <a:lumMod val="50000"/>
                  </a:schemeClr>
                </a:solidFill>
                <a:latin typeface="Century Gothic"/>
              </a:rPr>
              <a:pPr algn="ctr"/>
              <a:t>Crisis COVID 
34 - 35.3%</a:t>
            </a:fld>
            <a:endParaRPr lang="en-US" sz="600" b="0">
              <a:solidFill>
                <a:schemeClr val="accent4">
                  <a:lumMod val="50000"/>
                </a:schemeClr>
              </a:solidFill>
            </a:endParaRPr>
          </a:p>
        </xdr:txBody>
      </xdr:sp>
      <xdr:sp macro="" textlink="Chart!H130">
        <xdr:nvSpPr>
          <xdr:cNvPr id="286" name="Rounded Rectangle 157">
            <a:extLst>
              <a:ext uri="{FF2B5EF4-FFF2-40B4-BE49-F238E27FC236}">
                <a16:creationId xmlns:a16="http://schemas.microsoft.com/office/drawing/2014/main" id="{AA9E35AD-689C-42CF-A77E-078D638FE73F}"/>
              </a:ext>
            </a:extLst>
          </xdr:cNvPr>
          <xdr:cNvSpPr/>
        </xdr:nvSpPr>
        <xdr:spPr>
          <a:xfrm>
            <a:off x="16093612" y="7054559"/>
            <a:ext cx="640080" cy="357565"/>
          </a:xfrm>
          <a:prstGeom prst="roundRect">
            <a:avLst/>
          </a:prstGeom>
          <a:pattFill prst="pct5">
            <a:fgClr>
              <a:schemeClr val="accent4"/>
            </a:fgClr>
            <a:bgClr>
              <a:schemeClr val="bg1"/>
            </a:bgClr>
          </a:patt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E11633D-B873-45BC-8BC2-EB2E9F5BEEEA}" type="TxLink">
              <a:rPr lang="en-US" sz="800" b="0" i="0" u="none" strike="noStrike">
                <a:solidFill>
                  <a:schemeClr val="accent4"/>
                </a:solidFill>
                <a:latin typeface="Century Gothic"/>
              </a:rPr>
              <a:pPr algn="ctr"/>
              <a:t>Crisis COVID 
60 - 100.0%</a:t>
            </a:fld>
            <a:endParaRPr lang="en-US" sz="600" b="0">
              <a:solidFill>
                <a:schemeClr val="accent4"/>
              </a:solidFill>
            </a:endParaRPr>
          </a:p>
        </xdr:txBody>
      </xdr:sp>
    </xdr:grpSp>
    <xdr:clientData/>
  </xdr:twoCellAnchor>
  <xdr:twoCellAnchor>
    <xdr:from>
      <xdr:col>0</xdr:col>
      <xdr:colOff>9525</xdr:colOff>
      <xdr:row>41</xdr:row>
      <xdr:rowOff>104020</xdr:rowOff>
    </xdr:from>
    <xdr:to>
      <xdr:col>17</xdr:col>
      <xdr:colOff>104775</xdr:colOff>
      <xdr:row>56</xdr:row>
      <xdr:rowOff>96611</xdr:rowOff>
    </xdr:to>
    <xdr:grpSp>
      <xdr:nvGrpSpPr>
        <xdr:cNvPr id="8" name="Group 7">
          <a:extLst>
            <a:ext uri="{FF2B5EF4-FFF2-40B4-BE49-F238E27FC236}">
              <a16:creationId xmlns:a16="http://schemas.microsoft.com/office/drawing/2014/main" id="{5D5AEDFD-7840-48E2-8675-82DE5C3C7360}"/>
            </a:ext>
          </a:extLst>
        </xdr:cNvPr>
        <xdr:cNvGrpSpPr/>
      </xdr:nvGrpSpPr>
      <xdr:grpSpPr>
        <a:xfrm>
          <a:off x="8467" y="7229778"/>
          <a:ext cx="18855266" cy="2470150"/>
          <a:chOff x="9525" y="7283489"/>
          <a:chExt cx="17537906" cy="2492903"/>
        </a:xfrm>
      </xdr:grpSpPr>
      <xdr:grpSp>
        <xdr:nvGrpSpPr>
          <xdr:cNvPr id="381" name="Group 380">
            <a:extLst>
              <a:ext uri="{FF2B5EF4-FFF2-40B4-BE49-F238E27FC236}">
                <a16:creationId xmlns:a16="http://schemas.microsoft.com/office/drawing/2014/main" id="{9B8EEA03-7F36-4E5F-BEC7-E24F791117D2}"/>
              </a:ext>
            </a:extLst>
          </xdr:cNvPr>
          <xdr:cNvGrpSpPr/>
        </xdr:nvGrpSpPr>
        <xdr:grpSpPr>
          <a:xfrm>
            <a:off x="9525" y="7283489"/>
            <a:ext cx="17537906" cy="2492903"/>
            <a:chOff x="9525" y="1369216"/>
            <a:chExt cx="17573625" cy="2564609"/>
          </a:xfrm>
        </xdr:grpSpPr>
        <xdr:sp macro="" textlink="">
          <xdr:nvSpPr>
            <xdr:cNvPr id="382" name="Rectangle: Rounded Corners 381">
              <a:extLst>
                <a:ext uri="{FF2B5EF4-FFF2-40B4-BE49-F238E27FC236}">
                  <a16:creationId xmlns:a16="http://schemas.microsoft.com/office/drawing/2014/main" id="{9A147045-F0AA-4EAB-875E-4FAD12F9CDAC}"/>
                </a:ext>
              </a:extLst>
            </xdr:cNvPr>
            <xdr:cNvSpPr/>
          </xdr:nvSpPr>
          <xdr:spPr>
            <a:xfrm>
              <a:off x="9525" y="1369216"/>
              <a:ext cx="17573625" cy="1866900"/>
            </a:xfrm>
            <a:prstGeom prst="roundRect">
              <a:avLst/>
            </a:prstGeom>
            <a:solidFill>
              <a:schemeClr val="bg1"/>
            </a:solidFill>
            <a:ln w="28575">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83" name="Group 382">
              <a:extLst>
                <a:ext uri="{FF2B5EF4-FFF2-40B4-BE49-F238E27FC236}">
                  <a16:creationId xmlns:a16="http://schemas.microsoft.com/office/drawing/2014/main" id="{D1315003-F8CB-4869-B7BF-E2EF06B36332}"/>
                </a:ext>
              </a:extLst>
            </xdr:cNvPr>
            <xdr:cNvGrpSpPr/>
          </xdr:nvGrpSpPr>
          <xdr:grpSpPr>
            <a:xfrm>
              <a:off x="542925" y="1438275"/>
              <a:ext cx="16906875" cy="2495550"/>
              <a:chOff x="542925" y="1362075"/>
              <a:chExt cx="16906875" cy="2554605"/>
            </a:xfrm>
          </xdr:grpSpPr>
          <xdr:graphicFrame macro="">
            <xdr:nvGraphicFramePr>
              <xdr:cNvPr id="385" name="Chart 384">
                <a:extLst>
                  <a:ext uri="{FF2B5EF4-FFF2-40B4-BE49-F238E27FC236}">
                    <a16:creationId xmlns:a16="http://schemas.microsoft.com/office/drawing/2014/main" id="{FAFBF15D-F9B3-4E7D-9577-C95CD211DF62}"/>
                  </a:ext>
                </a:extLst>
              </xdr:cNvPr>
              <xdr:cNvGraphicFramePr>
                <a:graphicFrameLocks/>
              </xdr:cNvGraphicFramePr>
            </xdr:nvGraphicFramePr>
            <xdr:xfrm>
              <a:off x="542925" y="1447800"/>
              <a:ext cx="2046846" cy="2468880"/>
            </xdr:xfrm>
            <a:graphic>
              <a:graphicData uri="http://schemas.openxmlformats.org/drawingml/2006/chart">
                <c:chart xmlns:c="http://schemas.openxmlformats.org/drawingml/2006/chart" xmlns:r="http://schemas.openxmlformats.org/officeDocument/2006/relationships" r:id="rId20"/>
              </a:graphicData>
            </a:graphic>
          </xdr:graphicFrame>
          <xdr:graphicFrame macro="">
            <xdr:nvGraphicFramePr>
              <xdr:cNvPr id="386" name="Chart 385">
                <a:extLst>
                  <a:ext uri="{FF2B5EF4-FFF2-40B4-BE49-F238E27FC236}">
                    <a16:creationId xmlns:a16="http://schemas.microsoft.com/office/drawing/2014/main" id="{6A4420D2-A836-4A78-B9E8-42CFB5A383EB}"/>
                  </a:ext>
                </a:extLst>
              </xdr:cNvPr>
              <xdr:cNvGraphicFramePr>
                <a:graphicFrameLocks/>
              </xdr:cNvGraphicFramePr>
            </xdr:nvGraphicFramePr>
            <xdr:xfrm>
              <a:off x="2665786" y="1447800"/>
              <a:ext cx="2046846" cy="2468880"/>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387" name="Chart 386">
                <a:extLst>
                  <a:ext uri="{FF2B5EF4-FFF2-40B4-BE49-F238E27FC236}">
                    <a16:creationId xmlns:a16="http://schemas.microsoft.com/office/drawing/2014/main" id="{ECCB788F-566A-42C0-B920-B0A544C5264C}"/>
                  </a:ext>
                </a:extLst>
              </xdr:cNvPr>
              <xdr:cNvGraphicFramePr>
                <a:graphicFrameLocks/>
              </xdr:cNvGraphicFramePr>
            </xdr:nvGraphicFramePr>
            <xdr:xfrm>
              <a:off x="4788648" y="1447800"/>
              <a:ext cx="2046846" cy="2468880"/>
            </xdr:xfrm>
            <a:graphic>
              <a:graphicData uri="http://schemas.openxmlformats.org/drawingml/2006/chart">
                <c:chart xmlns:c="http://schemas.openxmlformats.org/drawingml/2006/chart" xmlns:r="http://schemas.openxmlformats.org/officeDocument/2006/relationships" r:id="rId22"/>
              </a:graphicData>
            </a:graphic>
          </xdr:graphicFrame>
          <xdr:graphicFrame macro="">
            <xdr:nvGraphicFramePr>
              <xdr:cNvPr id="388" name="Chart 387">
                <a:extLst>
                  <a:ext uri="{FF2B5EF4-FFF2-40B4-BE49-F238E27FC236}">
                    <a16:creationId xmlns:a16="http://schemas.microsoft.com/office/drawing/2014/main" id="{23955BF4-63B2-480F-80C7-41AE42582105}"/>
                  </a:ext>
                </a:extLst>
              </xdr:cNvPr>
              <xdr:cNvGraphicFramePr>
                <a:graphicFrameLocks/>
              </xdr:cNvGraphicFramePr>
            </xdr:nvGraphicFramePr>
            <xdr:xfrm>
              <a:off x="6911509" y="1447800"/>
              <a:ext cx="2046846" cy="2468880"/>
            </xdr:xfrm>
            <a:graphic>
              <a:graphicData uri="http://schemas.openxmlformats.org/drawingml/2006/chart">
                <c:chart xmlns:c="http://schemas.openxmlformats.org/drawingml/2006/chart" xmlns:r="http://schemas.openxmlformats.org/officeDocument/2006/relationships" r:id="rId23"/>
              </a:graphicData>
            </a:graphic>
          </xdr:graphicFrame>
          <xdr:graphicFrame macro="">
            <xdr:nvGraphicFramePr>
              <xdr:cNvPr id="389" name="Chart 388">
                <a:extLst>
                  <a:ext uri="{FF2B5EF4-FFF2-40B4-BE49-F238E27FC236}">
                    <a16:creationId xmlns:a16="http://schemas.microsoft.com/office/drawing/2014/main" id="{A2B37B8A-A16F-42A5-B1CA-E37618F78CB0}"/>
                  </a:ext>
                </a:extLst>
              </xdr:cNvPr>
              <xdr:cNvGraphicFramePr>
                <a:graphicFrameLocks/>
              </xdr:cNvGraphicFramePr>
            </xdr:nvGraphicFramePr>
            <xdr:xfrm>
              <a:off x="9034370" y="1447800"/>
              <a:ext cx="2046846" cy="2468880"/>
            </xdr:xfrm>
            <a:graphic>
              <a:graphicData uri="http://schemas.openxmlformats.org/drawingml/2006/chart">
                <c:chart xmlns:c="http://schemas.openxmlformats.org/drawingml/2006/chart" xmlns:r="http://schemas.openxmlformats.org/officeDocument/2006/relationships" r:id="rId24"/>
              </a:graphicData>
            </a:graphic>
          </xdr:graphicFrame>
          <xdr:graphicFrame macro="">
            <xdr:nvGraphicFramePr>
              <xdr:cNvPr id="390" name="Chart 389">
                <a:extLst>
                  <a:ext uri="{FF2B5EF4-FFF2-40B4-BE49-F238E27FC236}">
                    <a16:creationId xmlns:a16="http://schemas.microsoft.com/office/drawing/2014/main" id="{DEAAE694-74D1-48F9-8961-D6469B443EEE}"/>
                  </a:ext>
                </a:extLst>
              </xdr:cNvPr>
              <xdr:cNvGraphicFramePr>
                <a:graphicFrameLocks/>
              </xdr:cNvGraphicFramePr>
            </xdr:nvGraphicFramePr>
            <xdr:xfrm>
              <a:off x="11157231" y="1447800"/>
              <a:ext cx="2046846" cy="2468880"/>
            </xdr:xfrm>
            <a:graphic>
              <a:graphicData uri="http://schemas.openxmlformats.org/drawingml/2006/chart">
                <c:chart xmlns:c="http://schemas.openxmlformats.org/drawingml/2006/chart" xmlns:r="http://schemas.openxmlformats.org/officeDocument/2006/relationships" r:id="rId25"/>
              </a:graphicData>
            </a:graphic>
          </xdr:graphicFrame>
          <xdr:graphicFrame macro="">
            <xdr:nvGraphicFramePr>
              <xdr:cNvPr id="391" name="Chart 390">
                <a:extLst>
                  <a:ext uri="{FF2B5EF4-FFF2-40B4-BE49-F238E27FC236}">
                    <a16:creationId xmlns:a16="http://schemas.microsoft.com/office/drawing/2014/main" id="{9D7F2A5E-66AA-4534-9C34-57F702E7CDCA}"/>
                  </a:ext>
                </a:extLst>
              </xdr:cNvPr>
              <xdr:cNvGraphicFramePr>
                <a:graphicFrameLocks/>
              </xdr:cNvGraphicFramePr>
            </xdr:nvGraphicFramePr>
            <xdr:xfrm>
              <a:off x="13280093" y="1447800"/>
              <a:ext cx="2046846" cy="2468880"/>
            </xdr:xfrm>
            <a:graphic>
              <a:graphicData uri="http://schemas.openxmlformats.org/drawingml/2006/chart">
                <c:chart xmlns:c="http://schemas.openxmlformats.org/drawingml/2006/chart" xmlns:r="http://schemas.openxmlformats.org/officeDocument/2006/relationships" r:id="rId26"/>
              </a:graphicData>
            </a:graphic>
          </xdr:graphicFrame>
          <xdr:graphicFrame macro="">
            <xdr:nvGraphicFramePr>
              <xdr:cNvPr id="392" name="Chart 391">
                <a:extLst>
                  <a:ext uri="{FF2B5EF4-FFF2-40B4-BE49-F238E27FC236}">
                    <a16:creationId xmlns:a16="http://schemas.microsoft.com/office/drawing/2014/main" id="{399F8744-09AC-4B7F-A731-48203BF81178}"/>
                  </a:ext>
                </a:extLst>
              </xdr:cNvPr>
              <xdr:cNvGraphicFramePr>
                <a:graphicFrameLocks/>
              </xdr:cNvGraphicFramePr>
            </xdr:nvGraphicFramePr>
            <xdr:xfrm>
              <a:off x="15402954" y="1447800"/>
              <a:ext cx="2046846" cy="2468880"/>
            </xdr:xfrm>
            <a:graphic>
              <a:graphicData uri="http://schemas.openxmlformats.org/drawingml/2006/chart">
                <c:chart xmlns:c="http://schemas.openxmlformats.org/drawingml/2006/chart" xmlns:r="http://schemas.openxmlformats.org/officeDocument/2006/relationships" r:id="rId27"/>
              </a:graphicData>
            </a:graphic>
          </xdr:graphicFrame>
          <xdr:sp macro="" textlink="Chart!E140">
            <xdr:nvSpPr>
              <xdr:cNvPr id="393" name="Rounded Rectangle 140">
                <a:extLst>
                  <a:ext uri="{FF2B5EF4-FFF2-40B4-BE49-F238E27FC236}">
                    <a16:creationId xmlns:a16="http://schemas.microsoft.com/office/drawing/2014/main" id="{A7BAC79E-1B6D-42A9-9969-30EB299FD3D8}"/>
                  </a:ext>
                </a:extLst>
              </xdr:cNvPr>
              <xdr:cNvSpPr/>
            </xdr:nvSpPr>
            <xdr:spPr>
              <a:xfrm>
                <a:off x="1210375" y="1362075"/>
                <a:ext cx="711946" cy="22860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6832458-F439-4018-B22A-E2F59CFC37E0}" type="TxLink">
                  <a:rPr lang="en-US" sz="1400" b="1" i="0" u="none" strike="noStrike">
                    <a:solidFill>
                      <a:schemeClr val="bg1">
                        <a:lumMod val="100000"/>
                      </a:schemeClr>
                    </a:solidFill>
                    <a:latin typeface="Century Gothic"/>
                  </a:rPr>
                  <a:pPr algn="ctr"/>
                  <a:t>50</a:t>
                </a:fld>
                <a:endParaRPr lang="en-US" sz="1400" b="1">
                  <a:solidFill>
                    <a:schemeClr val="bg1">
                      <a:lumMod val="100000"/>
                    </a:schemeClr>
                  </a:solidFill>
                </a:endParaRPr>
              </a:p>
            </xdr:txBody>
          </xdr:sp>
          <xdr:sp macro="" textlink="Chart!E151">
            <xdr:nvSpPr>
              <xdr:cNvPr id="394" name="Rounded Rectangle 141">
                <a:extLst>
                  <a:ext uri="{FF2B5EF4-FFF2-40B4-BE49-F238E27FC236}">
                    <a16:creationId xmlns:a16="http://schemas.microsoft.com/office/drawing/2014/main" id="{ABD1894C-FADE-4F67-9D9F-7E6E8FB0114B}"/>
                  </a:ext>
                </a:extLst>
              </xdr:cNvPr>
              <xdr:cNvSpPr/>
            </xdr:nvSpPr>
            <xdr:spPr>
              <a:xfrm>
                <a:off x="3333236" y="1362075"/>
                <a:ext cx="711946" cy="2286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B2DF9DC-7B2A-4B35-8760-FE399646E0A0}" type="TxLink">
                  <a:rPr lang="en-US" sz="1400" b="1" i="0" u="none" strike="noStrike">
                    <a:solidFill>
                      <a:schemeClr val="bg1">
                        <a:lumMod val="100000"/>
                      </a:schemeClr>
                    </a:solidFill>
                    <a:latin typeface="Century Gothic"/>
                  </a:rPr>
                  <a:pPr algn="ctr"/>
                  <a:t>66</a:t>
                </a:fld>
                <a:endParaRPr lang="en-US" sz="1400" b="1">
                  <a:solidFill>
                    <a:schemeClr val="bg1">
                      <a:lumMod val="100000"/>
                    </a:schemeClr>
                  </a:solidFill>
                </a:endParaRPr>
              </a:p>
            </xdr:txBody>
          </xdr:sp>
          <xdr:sp macro="" textlink="Chart!E141">
            <xdr:nvSpPr>
              <xdr:cNvPr id="395" name="Rounded Rectangle 142">
                <a:extLst>
                  <a:ext uri="{FF2B5EF4-FFF2-40B4-BE49-F238E27FC236}">
                    <a16:creationId xmlns:a16="http://schemas.microsoft.com/office/drawing/2014/main" id="{61C9B562-83E7-4D97-8B1C-AE88EEFE07B8}"/>
                  </a:ext>
                </a:extLst>
              </xdr:cNvPr>
              <xdr:cNvSpPr/>
            </xdr:nvSpPr>
            <xdr:spPr>
              <a:xfrm>
                <a:off x="552195" y="2771775"/>
                <a:ext cx="641384" cy="36576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C2349C3-6D38-420E-8C1A-430200C595BF}" type="TxLink">
                  <a:rPr lang="en-US" sz="800" b="0" i="0" u="none" strike="noStrike">
                    <a:solidFill>
                      <a:schemeClr val="bg1">
                        <a:lumMod val="100000"/>
                      </a:schemeClr>
                    </a:solidFill>
                    <a:latin typeface="Century Gothic"/>
                  </a:rPr>
                  <a:pPr algn="ctr"/>
                  <a:t>Max COVID 
162 - 30.9%</a:t>
                </a:fld>
                <a:endParaRPr lang="en-US" sz="800" b="0">
                  <a:solidFill>
                    <a:schemeClr val="bg1">
                      <a:lumMod val="100000"/>
                    </a:schemeClr>
                  </a:solidFill>
                </a:endParaRPr>
              </a:p>
            </xdr:txBody>
          </xdr:sp>
          <xdr:sp macro="" textlink="Chart!E143">
            <xdr:nvSpPr>
              <xdr:cNvPr id="396" name="Rounded Rectangle 143">
                <a:extLst>
                  <a:ext uri="{FF2B5EF4-FFF2-40B4-BE49-F238E27FC236}">
                    <a16:creationId xmlns:a16="http://schemas.microsoft.com/office/drawing/2014/main" id="{09F418D5-3EDE-4B10-AD2B-BE7A41F160F8}"/>
                  </a:ext>
                </a:extLst>
              </xdr:cNvPr>
              <xdr:cNvSpPr/>
            </xdr:nvSpPr>
            <xdr:spPr>
              <a:xfrm>
                <a:off x="1897735" y="2771775"/>
                <a:ext cx="659709"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2AB21CA-03A9-4DBC-B624-6726F3796BCB}" type="TxLink">
                  <a:rPr lang="en-US" sz="800" b="0" i="0" u="none" strike="noStrike">
                    <a:solidFill>
                      <a:schemeClr val="accent1">
                        <a:lumMod val="50000"/>
                      </a:schemeClr>
                    </a:solidFill>
                    <a:latin typeface="Century Gothic"/>
                  </a:rPr>
                  <a:pPr algn="ctr"/>
                  <a:t>All Beds
375 - 13.3%</a:t>
                </a:fld>
                <a:endParaRPr lang="en-US" sz="800" b="0">
                  <a:solidFill>
                    <a:schemeClr val="accent1">
                      <a:lumMod val="50000"/>
                    </a:schemeClr>
                  </a:solidFill>
                </a:endParaRPr>
              </a:p>
            </xdr:txBody>
          </xdr:sp>
          <xdr:sp macro="" textlink="Chart!E152">
            <xdr:nvSpPr>
              <xdr:cNvPr id="397" name="Rounded Rectangle 144">
                <a:extLst>
                  <a:ext uri="{FF2B5EF4-FFF2-40B4-BE49-F238E27FC236}">
                    <a16:creationId xmlns:a16="http://schemas.microsoft.com/office/drawing/2014/main" id="{57F2650D-C856-4921-9D7D-A1761B72BC51}"/>
                  </a:ext>
                </a:extLst>
              </xdr:cNvPr>
              <xdr:cNvSpPr/>
            </xdr:nvSpPr>
            <xdr:spPr>
              <a:xfrm>
                <a:off x="2684327" y="2771775"/>
                <a:ext cx="641384" cy="36576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D6EB4AF-E622-4A35-B76E-7255EEBAE0DB}" type="TxLink">
                  <a:rPr lang="en-US" sz="800" b="0" i="0" u="none" strike="noStrike">
                    <a:solidFill>
                      <a:schemeClr val="bg1">
                        <a:lumMod val="100000"/>
                      </a:schemeClr>
                    </a:solidFill>
                    <a:latin typeface="Century Gothic"/>
                  </a:rPr>
                  <a:pPr algn="ctr"/>
                  <a:t>Max COVID 
310 - 21.3%</a:t>
                </a:fld>
                <a:endParaRPr lang="en-US" sz="800" b="0">
                  <a:solidFill>
                    <a:schemeClr val="bg1">
                      <a:lumMod val="100000"/>
                    </a:schemeClr>
                  </a:solidFill>
                </a:endParaRPr>
              </a:p>
            </xdr:txBody>
          </xdr:sp>
          <xdr:sp macro="" textlink="Chart!E154">
            <xdr:nvSpPr>
              <xdr:cNvPr id="398" name="Rounded Rectangle 145">
                <a:extLst>
                  <a:ext uri="{FF2B5EF4-FFF2-40B4-BE49-F238E27FC236}">
                    <a16:creationId xmlns:a16="http://schemas.microsoft.com/office/drawing/2014/main" id="{73A99A6D-FFD9-47D1-ADE7-C6112BE38801}"/>
                  </a:ext>
                </a:extLst>
              </xdr:cNvPr>
              <xdr:cNvSpPr/>
            </xdr:nvSpPr>
            <xdr:spPr>
              <a:xfrm>
                <a:off x="4037636" y="2771775"/>
                <a:ext cx="659709"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4255512-BC62-43B8-9794-4D0B0573B47A}" type="TxLink">
                  <a:rPr lang="en-US" sz="800" b="0" i="0" u="none" strike="noStrike">
                    <a:solidFill>
                      <a:schemeClr val="accent1"/>
                    </a:solidFill>
                    <a:latin typeface="Century Gothic"/>
                  </a:rPr>
                  <a:pPr algn="ctr"/>
                  <a:t>All Beds
809 - 8.2%</a:t>
                </a:fld>
                <a:endParaRPr lang="en-US" sz="800" b="0">
                  <a:solidFill>
                    <a:schemeClr val="accent1"/>
                  </a:solidFill>
                </a:endParaRPr>
              </a:p>
            </xdr:txBody>
          </xdr:sp>
          <xdr:sp macro="" textlink="Chart!E155">
            <xdr:nvSpPr>
              <xdr:cNvPr id="399" name="Rounded Rectangle 146">
                <a:extLst>
                  <a:ext uri="{FF2B5EF4-FFF2-40B4-BE49-F238E27FC236}">
                    <a16:creationId xmlns:a16="http://schemas.microsoft.com/office/drawing/2014/main" id="{50C7C355-4532-4B26-87F0-536B3326E448}"/>
                  </a:ext>
                </a:extLst>
              </xdr:cNvPr>
              <xdr:cNvSpPr/>
            </xdr:nvSpPr>
            <xdr:spPr>
              <a:xfrm>
                <a:off x="2130070" y="1362075"/>
                <a:ext cx="960120" cy="459205"/>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EEED9C4-027D-4ACB-B22E-D98BE25D060F}" type="TxLink">
                  <a:rPr lang="en-US" sz="1200" b="1" i="0" u="none" strike="noStrike">
                    <a:solidFill>
                      <a:schemeClr val="bg1"/>
                    </a:solidFill>
                    <a:latin typeface="Century Gothic"/>
                  </a:rPr>
                  <a:pPr algn="ctr"/>
                  <a:t>Total COVID
116</a:t>
                </a:fld>
                <a:endParaRPr lang="en-US" sz="1200" b="1">
                  <a:solidFill>
                    <a:schemeClr val="bg1"/>
                  </a:solidFill>
                </a:endParaRPr>
              </a:p>
            </xdr:txBody>
          </xdr:sp>
          <xdr:sp macro="" textlink="Chart!F141">
            <xdr:nvSpPr>
              <xdr:cNvPr id="400" name="Rounded Rectangle 147">
                <a:extLst>
                  <a:ext uri="{FF2B5EF4-FFF2-40B4-BE49-F238E27FC236}">
                    <a16:creationId xmlns:a16="http://schemas.microsoft.com/office/drawing/2014/main" id="{FFC1B447-3EC5-4AB6-A984-802F240F8742}"/>
                  </a:ext>
                </a:extLst>
              </xdr:cNvPr>
              <xdr:cNvSpPr/>
            </xdr:nvSpPr>
            <xdr:spPr>
              <a:xfrm>
                <a:off x="4797918" y="2771775"/>
                <a:ext cx="641384" cy="36576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59C8348-4F85-457E-A74B-3C959B6BEEF7}" type="TxLink">
                  <a:rPr lang="en-US" sz="800" b="0" i="0" u="none" strike="noStrike">
                    <a:solidFill>
                      <a:schemeClr val="bg1">
                        <a:lumMod val="100000"/>
                      </a:schemeClr>
                    </a:solidFill>
                    <a:latin typeface="Century Gothic"/>
                  </a:rPr>
                  <a:pPr algn="ctr"/>
                  <a:t>Max COVID 
162 - 40.7%</a:t>
                </a:fld>
                <a:endParaRPr lang="en-US" sz="800" b="0">
                  <a:solidFill>
                    <a:schemeClr val="bg1">
                      <a:lumMod val="100000"/>
                    </a:schemeClr>
                  </a:solidFill>
                </a:endParaRPr>
              </a:p>
            </xdr:txBody>
          </xdr:sp>
          <xdr:sp macro="" textlink="Chart!F143">
            <xdr:nvSpPr>
              <xdr:cNvPr id="401" name="Rounded Rectangle 148">
                <a:extLst>
                  <a:ext uri="{FF2B5EF4-FFF2-40B4-BE49-F238E27FC236}">
                    <a16:creationId xmlns:a16="http://schemas.microsoft.com/office/drawing/2014/main" id="{B657DA7A-CB10-4DA7-9529-91FD896117F1}"/>
                  </a:ext>
                </a:extLst>
              </xdr:cNvPr>
              <xdr:cNvSpPr/>
            </xdr:nvSpPr>
            <xdr:spPr>
              <a:xfrm>
                <a:off x="6167687" y="2771775"/>
                <a:ext cx="659709" cy="365760"/>
              </a:xfrm>
              <a:prstGeom prst="roundRect">
                <a:avLst/>
              </a:prstGeom>
              <a:solidFill>
                <a:schemeClr val="bg1"/>
              </a:solidFill>
              <a:ln w="19050">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A70A386-ECB4-43DD-B9C7-4441BA895089}" type="TxLink">
                  <a:rPr lang="en-US" sz="800" b="0" i="0" u="none" strike="noStrike">
                    <a:solidFill>
                      <a:schemeClr val="accent5">
                        <a:lumMod val="50000"/>
                      </a:schemeClr>
                    </a:solidFill>
                    <a:latin typeface="Century Gothic"/>
                  </a:rPr>
                  <a:pPr algn="ctr"/>
                  <a:t>All Beds
375 - 17.6%</a:t>
                </a:fld>
                <a:endParaRPr lang="en-US" sz="800" b="0">
                  <a:solidFill>
                    <a:schemeClr val="accent5">
                      <a:lumMod val="50000"/>
                    </a:schemeClr>
                  </a:solidFill>
                </a:endParaRPr>
              </a:p>
            </xdr:txBody>
          </xdr:sp>
          <xdr:sp macro="" textlink="Chart!F152">
            <xdr:nvSpPr>
              <xdr:cNvPr id="402" name="Rounded Rectangle 149">
                <a:extLst>
                  <a:ext uri="{FF2B5EF4-FFF2-40B4-BE49-F238E27FC236}">
                    <a16:creationId xmlns:a16="http://schemas.microsoft.com/office/drawing/2014/main" id="{27CA985B-8021-4A61-86AC-56E386B106E8}"/>
                  </a:ext>
                </a:extLst>
              </xdr:cNvPr>
              <xdr:cNvSpPr/>
            </xdr:nvSpPr>
            <xdr:spPr>
              <a:xfrm>
                <a:off x="6922122" y="2771775"/>
                <a:ext cx="641384" cy="36576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1010D63-9D93-426F-BAF6-EE834FC79B62}" type="TxLink">
                  <a:rPr lang="en-US" sz="800" b="0" i="0" u="none" strike="noStrike">
                    <a:solidFill>
                      <a:schemeClr val="bg1">
                        <a:lumMod val="100000"/>
                      </a:schemeClr>
                    </a:solidFill>
                    <a:latin typeface="Century Gothic"/>
                  </a:rPr>
                  <a:pPr algn="ctr"/>
                  <a:t>Max COVID 
310 - 34.5%</a:t>
                </a:fld>
                <a:endParaRPr lang="en-US" sz="800" b="0">
                  <a:solidFill>
                    <a:schemeClr val="bg1">
                      <a:lumMod val="100000"/>
                    </a:schemeClr>
                  </a:solidFill>
                </a:endParaRPr>
              </a:p>
            </xdr:txBody>
          </xdr:sp>
          <xdr:sp macro="" textlink="Chart!F154">
            <xdr:nvSpPr>
              <xdr:cNvPr id="403" name="Rounded Rectangle 150">
                <a:extLst>
                  <a:ext uri="{FF2B5EF4-FFF2-40B4-BE49-F238E27FC236}">
                    <a16:creationId xmlns:a16="http://schemas.microsoft.com/office/drawing/2014/main" id="{54866684-CAE2-4E9B-B888-B32FE6A7A9C9}"/>
                  </a:ext>
                </a:extLst>
              </xdr:cNvPr>
              <xdr:cNvSpPr/>
            </xdr:nvSpPr>
            <xdr:spPr>
              <a:xfrm>
                <a:off x="8275432" y="2771775"/>
                <a:ext cx="659709" cy="365760"/>
              </a:xfrm>
              <a:prstGeom prst="roundRect">
                <a:avLst/>
              </a:prstGeom>
              <a:solidFill>
                <a:schemeClr val="bg1"/>
              </a:solidFill>
              <a:ln w="19050">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EE6E54D-C631-4D9F-9EAF-4877721D305E}" type="TxLink">
                  <a:rPr lang="en-US" sz="800" b="0" i="0" u="none" strike="noStrike">
                    <a:solidFill>
                      <a:schemeClr val="accent5"/>
                    </a:solidFill>
                    <a:latin typeface="Century Gothic"/>
                  </a:rPr>
                  <a:pPr algn="ctr"/>
                  <a:t>All Beds
809 - 13.2%</a:t>
                </a:fld>
                <a:endParaRPr lang="en-US" sz="800" b="0">
                  <a:solidFill>
                    <a:schemeClr val="accent5"/>
                  </a:solidFill>
                </a:endParaRPr>
              </a:p>
            </xdr:txBody>
          </xdr:sp>
          <xdr:sp macro="" textlink="Chart!G141">
            <xdr:nvSpPr>
              <xdr:cNvPr id="404" name="Rounded Rectangle 151">
                <a:extLst>
                  <a:ext uri="{FF2B5EF4-FFF2-40B4-BE49-F238E27FC236}">
                    <a16:creationId xmlns:a16="http://schemas.microsoft.com/office/drawing/2014/main" id="{65373D76-8C63-4ACA-94B6-948F3E169255}"/>
                  </a:ext>
                </a:extLst>
              </xdr:cNvPr>
              <xdr:cNvSpPr/>
            </xdr:nvSpPr>
            <xdr:spPr>
              <a:xfrm>
                <a:off x="9061224" y="2771775"/>
                <a:ext cx="641384" cy="36576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A620EC3-D135-46E1-9DE5-F3A6900188B9}" type="TxLink">
                  <a:rPr lang="en-US" sz="800" b="0" i="0" u="none" strike="noStrike">
                    <a:solidFill>
                      <a:schemeClr val="bg1">
                        <a:lumMod val="100000"/>
                      </a:schemeClr>
                    </a:solidFill>
                    <a:latin typeface="Century Gothic"/>
                  </a:rPr>
                  <a:pPr algn="ctr"/>
                  <a:t>Max COVID 
162 - 91.4%</a:t>
                </a:fld>
                <a:endParaRPr lang="en-US" sz="800" b="0">
                  <a:solidFill>
                    <a:schemeClr val="bg1">
                      <a:lumMod val="100000"/>
                    </a:schemeClr>
                  </a:solidFill>
                </a:endParaRPr>
              </a:p>
            </xdr:txBody>
          </xdr:sp>
          <xdr:sp macro="" textlink="Chart!G143">
            <xdr:nvSpPr>
              <xdr:cNvPr id="405" name="Rounded Rectangle 152">
                <a:extLst>
                  <a:ext uri="{FF2B5EF4-FFF2-40B4-BE49-F238E27FC236}">
                    <a16:creationId xmlns:a16="http://schemas.microsoft.com/office/drawing/2014/main" id="{1E533107-169E-4E1C-81A3-E30587EBC33B}"/>
                  </a:ext>
                </a:extLst>
              </xdr:cNvPr>
              <xdr:cNvSpPr/>
            </xdr:nvSpPr>
            <xdr:spPr>
              <a:xfrm>
                <a:off x="10405366" y="2771775"/>
                <a:ext cx="659709" cy="365760"/>
              </a:xfrm>
              <a:prstGeom prst="roundRect">
                <a:avLst/>
              </a:prstGeom>
              <a:solidFill>
                <a:schemeClr val="bg1"/>
              </a:solidFill>
              <a:ln w="1905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592C261-4AEA-410A-BE24-31B5D23077B2}" type="TxLink">
                  <a:rPr lang="en-US" sz="800" b="0" i="0" u="none" strike="noStrike">
                    <a:solidFill>
                      <a:schemeClr val="accent6">
                        <a:lumMod val="75000"/>
                      </a:schemeClr>
                    </a:solidFill>
                    <a:latin typeface="Century Gothic"/>
                  </a:rPr>
                  <a:pPr algn="ctr"/>
                  <a:t>All Beds
375 - 39.5%</a:t>
                </a:fld>
                <a:endParaRPr lang="en-US" sz="800" b="0">
                  <a:solidFill>
                    <a:schemeClr val="accent6">
                      <a:lumMod val="75000"/>
                    </a:schemeClr>
                  </a:solidFill>
                </a:endParaRPr>
              </a:p>
            </xdr:txBody>
          </xdr:sp>
          <xdr:sp macro="" textlink="Chart!G152">
            <xdr:nvSpPr>
              <xdr:cNvPr id="406" name="Rounded Rectangle 153">
                <a:extLst>
                  <a:ext uri="{FF2B5EF4-FFF2-40B4-BE49-F238E27FC236}">
                    <a16:creationId xmlns:a16="http://schemas.microsoft.com/office/drawing/2014/main" id="{CC52CBB2-D2A5-4DE1-91AD-FA41572C0E15}"/>
                  </a:ext>
                </a:extLst>
              </xdr:cNvPr>
              <xdr:cNvSpPr/>
            </xdr:nvSpPr>
            <xdr:spPr>
              <a:xfrm>
                <a:off x="11166501" y="2771775"/>
                <a:ext cx="641384" cy="36576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BB29C3F-8815-498F-A829-5740A3444E50}" type="TxLink">
                  <a:rPr lang="en-US" sz="800" b="0" i="0" u="none" strike="noStrike">
                    <a:solidFill>
                      <a:schemeClr val="bg1">
                        <a:lumMod val="100000"/>
                      </a:schemeClr>
                    </a:solidFill>
                    <a:latin typeface="Century Gothic"/>
                  </a:rPr>
                  <a:pPr algn="ctr"/>
                  <a:t>Max COVID 
310 - 59.7%</a:t>
                </a:fld>
                <a:endParaRPr lang="en-US" sz="800" b="0">
                  <a:solidFill>
                    <a:schemeClr val="bg1">
                      <a:lumMod val="100000"/>
                    </a:schemeClr>
                  </a:solidFill>
                </a:endParaRPr>
              </a:p>
            </xdr:txBody>
          </xdr:sp>
          <xdr:sp macro="" textlink="Chart!G154">
            <xdr:nvSpPr>
              <xdr:cNvPr id="407" name="Rounded Rectangle 154">
                <a:extLst>
                  <a:ext uri="{FF2B5EF4-FFF2-40B4-BE49-F238E27FC236}">
                    <a16:creationId xmlns:a16="http://schemas.microsoft.com/office/drawing/2014/main" id="{248F844E-D6A9-47E1-9144-BFEDB9616F9B}"/>
                  </a:ext>
                </a:extLst>
              </xdr:cNvPr>
              <xdr:cNvSpPr/>
            </xdr:nvSpPr>
            <xdr:spPr>
              <a:xfrm>
                <a:off x="12527739" y="2771775"/>
                <a:ext cx="659709" cy="365760"/>
              </a:xfrm>
              <a:prstGeom prst="roundRect">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90DEFFB-8965-4378-AC75-9A7D591004F9}" type="TxLink">
                  <a:rPr lang="en-US" sz="800" b="0" i="0" u="none" strike="noStrike">
                    <a:solidFill>
                      <a:schemeClr val="accent6"/>
                    </a:solidFill>
                    <a:latin typeface="Century Gothic"/>
                  </a:rPr>
                  <a:pPr algn="ctr"/>
                  <a:t>All Beds
809 - 22.9%</a:t>
                </a:fld>
                <a:endParaRPr lang="en-US" sz="800" b="0">
                  <a:solidFill>
                    <a:schemeClr val="accent6"/>
                  </a:solidFill>
                </a:endParaRPr>
              </a:p>
            </xdr:txBody>
          </xdr:sp>
          <xdr:sp macro="" textlink="Chart!H141">
            <xdr:nvSpPr>
              <xdr:cNvPr id="408" name="Rounded Rectangle 155">
                <a:extLst>
                  <a:ext uri="{FF2B5EF4-FFF2-40B4-BE49-F238E27FC236}">
                    <a16:creationId xmlns:a16="http://schemas.microsoft.com/office/drawing/2014/main" id="{69B28F66-0BC5-44FE-B2DB-BA5D48CB0A1E}"/>
                  </a:ext>
                </a:extLst>
              </xdr:cNvPr>
              <xdr:cNvSpPr/>
            </xdr:nvSpPr>
            <xdr:spPr>
              <a:xfrm>
                <a:off x="13298633" y="2771775"/>
                <a:ext cx="641384" cy="36576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3EC3886-9B0D-497C-B302-9D0D46D398EE}" type="TxLink">
                  <a:rPr lang="en-US" sz="800" b="0" i="0" u="none" strike="noStrike">
                    <a:solidFill>
                      <a:schemeClr val="bg1">
                        <a:lumMod val="100000"/>
                      </a:schemeClr>
                    </a:solidFill>
                    <a:latin typeface="Century Gothic"/>
                  </a:rPr>
                  <a:pPr algn="ctr"/>
                  <a:t>Max COVID 
162 - 178.4%</a:t>
                </a:fld>
                <a:endParaRPr lang="en-US" sz="800" b="0">
                  <a:solidFill>
                    <a:schemeClr val="bg1">
                      <a:lumMod val="100000"/>
                    </a:schemeClr>
                  </a:solidFill>
                </a:endParaRPr>
              </a:p>
            </xdr:txBody>
          </xdr:sp>
          <xdr:sp macro="" textlink="Chart!H143">
            <xdr:nvSpPr>
              <xdr:cNvPr id="409" name="Rounded Rectangle 156">
                <a:extLst>
                  <a:ext uri="{FF2B5EF4-FFF2-40B4-BE49-F238E27FC236}">
                    <a16:creationId xmlns:a16="http://schemas.microsoft.com/office/drawing/2014/main" id="{867B07F0-B11E-4384-9939-CDE32EB94404}"/>
                  </a:ext>
                </a:extLst>
              </xdr:cNvPr>
              <xdr:cNvSpPr/>
            </xdr:nvSpPr>
            <xdr:spPr>
              <a:xfrm>
                <a:off x="14651943" y="2771775"/>
                <a:ext cx="659709" cy="365760"/>
              </a:xfrm>
              <a:prstGeom prst="roundRect">
                <a:avLst/>
              </a:prstGeom>
              <a:solidFill>
                <a:schemeClr val="bg1"/>
              </a:solidFill>
              <a:ln w="19050">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2AA9C8B-287F-4B14-B8D5-FF6E50E0595B}" type="TxLink">
                  <a:rPr lang="en-US" sz="800" b="0" i="0" u="none" strike="noStrike">
                    <a:solidFill>
                      <a:schemeClr val="accent4">
                        <a:lumMod val="50000"/>
                      </a:schemeClr>
                    </a:solidFill>
                    <a:latin typeface="Century Gothic"/>
                  </a:rPr>
                  <a:pPr algn="ctr"/>
                  <a:t>All Beds
375 - 77.1%</a:t>
                </a:fld>
                <a:endParaRPr lang="en-US" sz="800" b="0">
                  <a:solidFill>
                    <a:schemeClr val="accent4">
                      <a:lumMod val="50000"/>
                    </a:schemeClr>
                  </a:solidFill>
                </a:endParaRPr>
              </a:p>
            </xdr:txBody>
          </xdr:sp>
          <xdr:sp macro="" textlink="Chart!H152">
            <xdr:nvSpPr>
              <xdr:cNvPr id="410" name="Rounded Rectangle 157">
                <a:extLst>
                  <a:ext uri="{FF2B5EF4-FFF2-40B4-BE49-F238E27FC236}">
                    <a16:creationId xmlns:a16="http://schemas.microsoft.com/office/drawing/2014/main" id="{A96CAE78-A6A4-4F8F-9EA0-F6B43B3507F9}"/>
                  </a:ext>
                </a:extLst>
              </xdr:cNvPr>
              <xdr:cNvSpPr/>
            </xdr:nvSpPr>
            <xdr:spPr>
              <a:xfrm>
                <a:off x="15417344" y="2771775"/>
                <a:ext cx="641384" cy="36576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DBEA6F4-F976-40BB-9962-7ED6744D8677}" type="TxLink">
                  <a:rPr lang="en-US" sz="800" b="0" i="0" u="none" strike="noStrike">
                    <a:solidFill>
                      <a:schemeClr val="bg1">
                        <a:lumMod val="100000"/>
                      </a:schemeClr>
                    </a:solidFill>
                    <a:latin typeface="Century Gothic"/>
                  </a:rPr>
                  <a:pPr algn="ctr"/>
                  <a:t>Max COVID 
310 - 138.7%</a:t>
                </a:fld>
                <a:endParaRPr lang="en-US" sz="800" b="0">
                  <a:solidFill>
                    <a:schemeClr val="bg1">
                      <a:lumMod val="100000"/>
                    </a:schemeClr>
                  </a:solidFill>
                </a:endParaRPr>
              </a:p>
            </xdr:txBody>
          </xdr:sp>
          <xdr:sp macro="" textlink="Chart!H154">
            <xdr:nvSpPr>
              <xdr:cNvPr id="411" name="Rounded Rectangle 158">
                <a:extLst>
                  <a:ext uri="{FF2B5EF4-FFF2-40B4-BE49-F238E27FC236}">
                    <a16:creationId xmlns:a16="http://schemas.microsoft.com/office/drawing/2014/main" id="{9F9EF99B-551C-45FC-AA8B-36F312440EA0}"/>
                  </a:ext>
                </a:extLst>
              </xdr:cNvPr>
              <xdr:cNvSpPr/>
            </xdr:nvSpPr>
            <xdr:spPr>
              <a:xfrm>
                <a:off x="16768220" y="2771775"/>
                <a:ext cx="659709" cy="365760"/>
              </a:xfrm>
              <a:prstGeom prst="roundRect">
                <a:avLst/>
              </a:prstGeom>
              <a:solidFill>
                <a:schemeClr val="bg1"/>
              </a:solidFill>
              <a:ln w="19050">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CFBF853-8490-4ACD-A817-2F49837AA983}" type="TxLink">
                  <a:rPr lang="en-US" sz="800" b="0" i="0" u="none" strike="noStrike">
                    <a:solidFill>
                      <a:schemeClr val="accent4"/>
                    </a:solidFill>
                    <a:latin typeface="Century Gothic"/>
                  </a:rPr>
                  <a:pPr algn="ctr"/>
                  <a:t>All Beds
809 - 53.2%</a:t>
                </a:fld>
                <a:endParaRPr lang="en-US" sz="800" b="0">
                  <a:solidFill>
                    <a:schemeClr val="accent4"/>
                  </a:solidFill>
                </a:endParaRPr>
              </a:p>
            </xdr:txBody>
          </xdr:sp>
          <xdr:sp macro="" textlink="Chart!F140">
            <xdr:nvSpPr>
              <xdr:cNvPr id="412" name="Rounded Rectangle 159">
                <a:extLst>
                  <a:ext uri="{FF2B5EF4-FFF2-40B4-BE49-F238E27FC236}">
                    <a16:creationId xmlns:a16="http://schemas.microsoft.com/office/drawing/2014/main" id="{9E3FEF53-7FE4-4705-B84D-33E443D7EB29}"/>
                  </a:ext>
                </a:extLst>
              </xdr:cNvPr>
              <xdr:cNvSpPr/>
            </xdr:nvSpPr>
            <xdr:spPr>
              <a:xfrm>
                <a:off x="5456097" y="1362075"/>
                <a:ext cx="711946" cy="22860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21D88CD-48DB-4909-9929-D6A1E11F1D44}" type="TxLink">
                  <a:rPr lang="en-US" sz="1400" b="1" i="0" u="none" strike="noStrike">
                    <a:solidFill>
                      <a:schemeClr val="bg1">
                        <a:lumMod val="100000"/>
                      </a:schemeClr>
                    </a:solidFill>
                    <a:latin typeface="Century Gothic"/>
                  </a:rPr>
                  <a:pPr algn="ctr"/>
                  <a:t>66</a:t>
                </a:fld>
                <a:endParaRPr lang="en-US" sz="1400" b="1">
                  <a:solidFill>
                    <a:schemeClr val="bg1">
                      <a:lumMod val="100000"/>
                    </a:schemeClr>
                  </a:solidFill>
                </a:endParaRPr>
              </a:p>
            </xdr:txBody>
          </xdr:sp>
          <xdr:sp macro="" textlink="Chart!F151">
            <xdr:nvSpPr>
              <xdr:cNvPr id="413" name="Rounded Rectangle 160">
                <a:extLst>
                  <a:ext uri="{FF2B5EF4-FFF2-40B4-BE49-F238E27FC236}">
                    <a16:creationId xmlns:a16="http://schemas.microsoft.com/office/drawing/2014/main" id="{BD46268B-9C60-4DCC-B221-9816E7B1B42C}"/>
                  </a:ext>
                </a:extLst>
              </xdr:cNvPr>
              <xdr:cNvSpPr/>
            </xdr:nvSpPr>
            <xdr:spPr>
              <a:xfrm>
                <a:off x="7578959" y="1362075"/>
                <a:ext cx="711946" cy="22860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EE3FF5A-091D-4730-8E29-04EF8DC6412C}" type="TxLink">
                  <a:rPr lang="en-US" sz="1400" b="1" i="0" u="none" strike="noStrike">
                    <a:solidFill>
                      <a:schemeClr val="bg1">
                        <a:lumMod val="100000"/>
                      </a:schemeClr>
                    </a:solidFill>
                    <a:latin typeface="Century Gothic"/>
                  </a:rPr>
                  <a:pPr algn="ctr"/>
                  <a:t>107</a:t>
                </a:fld>
                <a:endParaRPr lang="en-US" sz="1400" b="1">
                  <a:solidFill>
                    <a:schemeClr val="bg1">
                      <a:lumMod val="100000"/>
                    </a:schemeClr>
                  </a:solidFill>
                </a:endParaRPr>
              </a:p>
            </xdr:txBody>
          </xdr:sp>
          <xdr:sp macro="" textlink="Chart!G140">
            <xdr:nvSpPr>
              <xdr:cNvPr id="414" name="Rounded Rectangle 161">
                <a:extLst>
                  <a:ext uri="{FF2B5EF4-FFF2-40B4-BE49-F238E27FC236}">
                    <a16:creationId xmlns:a16="http://schemas.microsoft.com/office/drawing/2014/main" id="{7A5EE1AC-FA81-484B-8916-F709C1598004}"/>
                  </a:ext>
                </a:extLst>
              </xdr:cNvPr>
              <xdr:cNvSpPr/>
            </xdr:nvSpPr>
            <xdr:spPr>
              <a:xfrm>
                <a:off x="9701820" y="1362075"/>
                <a:ext cx="711946" cy="22860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D9A814B-9B26-43E9-8582-66D53CBECDFA}" type="TxLink">
                  <a:rPr lang="en-US" sz="1400" b="1" i="0" u="none" strike="noStrike">
                    <a:solidFill>
                      <a:schemeClr val="bg1">
                        <a:lumMod val="100000"/>
                      </a:schemeClr>
                    </a:solidFill>
                    <a:latin typeface="Century Gothic"/>
                  </a:rPr>
                  <a:pPr algn="ctr"/>
                  <a:t>148</a:t>
                </a:fld>
                <a:endParaRPr lang="en-US" sz="1400" b="1">
                  <a:solidFill>
                    <a:schemeClr val="bg1">
                      <a:lumMod val="100000"/>
                    </a:schemeClr>
                  </a:solidFill>
                </a:endParaRPr>
              </a:p>
            </xdr:txBody>
          </xdr:sp>
          <xdr:sp macro="" textlink="Chart!G151">
            <xdr:nvSpPr>
              <xdr:cNvPr id="415" name="Rounded Rectangle 162">
                <a:extLst>
                  <a:ext uri="{FF2B5EF4-FFF2-40B4-BE49-F238E27FC236}">
                    <a16:creationId xmlns:a16="http://schemas.microsoft.com/office/drawing/2014/main" id="{B6448768-4E70-45C2-AC8A-BA4B7D814F73}"/>
                  </a:ext>
                </a:extLst>
              </xdr:cNvPr>
              <xdr:cNvSpPr/>
            </xdr:nvSpPr>
            <xdr:spPr>
              <a:xfrm>
                <a:off x="11824681" y="1362075"/>
                <a:ext cx="711946" cy="22860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6A2D7DC-1F1B-487E-BC27-12835BE9C8A4}" type="TxLink">
                  <a:rPr lang="en-US" sz="1400" b="1" i="0" u="none" strike="noStrike">
                    <a:solidFill>
                      <a:schemeClr val="bg1">
                        <a:lumMod val="100000"/>
                      </a:schemeClr>
                    </a:solidFill>
                    <a:latin typeface="Century Gothic"/>
                  </a:rPr>
                  <a:pPr algn="ctr"/>
                  <a:t>185</a:t>
                </a:fld>
                <a:endParaRPr lang="en-US" sz="1400" b="1">
                  <a:solidFill>
                    <a:schemeClr val="bg1">
                      <a:lumMod val="100000"/>
                    </a:schemeClr>
                  </a:solidFill>
                </a:endParaRPr>
              </a:p>
            </xdr:txBody>
          </xdr:sp>
          <xdr:sp macro="" textlink="Chart!H140">
            <xdr:nvSpPr>
              <xdr:cNvPr id="416" name="Rounded Rectangle 163">
                <a:extLst>
                  <a:ext uri="{FF2B5EF4-FFF2-40B4-BE49-F238E27FC236}">
                    <a16:creationId xmlns:a16="http://schemas.microsoft.com/office/drawing/2014/main" id="{4E572592-25FC-4AD4-934E-5C6A51576264}"/>
                  </a:ext>
                </a:extLst>
              </xdr:cNvPr>
              <xdr:cNvSpPr/>
            </xdr:nvSpPr>
            <xdr:spPr>
              <a:xfrm>
                <a:off x="13947542" y="1362075"/>
                <a:ext cx="711946" cy="22860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D2062F6-FD99-4FDD-AD00-33BF32608A68}" type="TxLink">
                  <a:rPr lang="en-US" sz="1400" b="1" i="0" u="none" strike="noStrike">
                    <a:solidFill>
                      <a:schemeClr val="bg1">
                        <a:lumMod val="100000"/>
                      </a:schemeClr>
                    </a:solidFill>
                    <a:latin typeface="Century Gothic"/>
                  </a:rPr>
                  <a:pPr algn="ctr"/>
                  <a:t>289</a:t>
                </a:fld>
                <a:endParaRPr lang="en-US" sz="1400" b="1">
                  <a:solidFill>
                    <a:schemeClr val="bg1">
                      <a:lumMod val="100000"/>
                    </a:schemeClr>
                  </a:solidFill>
                </a:endParaRPr>
              </a:p>
            </xdr:txBody>
          </xdr:sp>
          <xdr:sp macro="" textlink="Chart!H151">
            <xdr:nvSpPr>
              <xdr:cNvPr id="417" name="Rounded Rectangle 164">
                <a:extLst>
                  <a:ext uri="{FF2B5EF4-FFF2-40B4-BE49-F238E27FC236}">
                    <a16:creationId xmlns:a16="http://schemas.microsoft.com/office/drawing/2014/main" id="{7B1B341E-BAA4-41F6-9B5B-A7F1343B9F66}"/>
                  </a:ext>
                </a:extLst>
              </xdr:cNvPr>
              <xdr:cNvSpPr/>
            </xdr:nvSpPr>
            <xdr:spPr>
              <a:xfrm>
                <a:off x="16070404" y="1362075"/>
                <a:ext cx="711946" cy="22860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523DA14-0B13-4DB6-B8AB-B365E87489AC}" type="TxLink">
                  <a:rPr lang="en-US" sz="1400" b="1" i="0" u="none" strike="noStrike">
                    <a:solidFill>
                      <a:schemeClr val="bg1">
                        <a:lumMod val="100000"/>
                      </a:schemeClr>
                    </a:solidFill>
                    <a:latin typeface="Century Gothic"/>
                  </a:rPr>
                  <a:pPr algn="ctr"/>
                  <a:t>430</a:t>
                </a:fld>
                <a:endParaRPr lang="en-US" sz="1400" b="1">
                  <a:solidFill>
                    <a:schemeClr val="bg1">
                      <a:lumMod val="100000"/>
                    </a:schemeClr>
                  </a:solidFill>
                </a:endParaRPr>
              </a:p>
            </xdr:txBody>
          </xdr:sp>
          <xdr:sp macro="" textlink="Chart!F155">
            <xdr:nvSpPr>
              <xdr:cNvPr id="418" name="Rounded Rectangle 165">
                <a:extLst>
                  <a:ext uri="{FF2B5EF4-FFF2-40B4-BE49-F238E27FC236}">
                    <a16:creationId xmlns:a16="http://schemas.microsoft.com/office/drawing/2014/main" id="{C38C1510-8A81-4DC6-BD70-88D27E3609E9}"/>
                  </a:ext>
                </a:extLst>
              </xdr:cNvPr>
              <xdr:cNvSpPr/>
            </xdr:nvSpPr>
            <xdr:spPr>
              <a:xfrm>
                <a:off x="6386040" y="1362075"/>
                <a:ext cx="960120" cy="459205"/>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158C61D-6694-4AA3-93BD-C3DE34C04175}" type="TxLink">
                  <a:rPr lang="en-US" sz="1200" b="1" i="0" u="none" strike="noStrike">
                    <a:solidFill>
                      <a:schemeClr val="bg1"/>
                    </a:solidFill>
                    <a:latin typeface="Century Gothic"/>
                  </a:rPr>
                  <a:pPr algn="ctr"/>
                  <a:t>Total COVID
173</a:t>
                </a:fld>
                <a:endParaRPr lang="en-US" sz="1200" b="1">
                  <a:solidFill>
                    <a:schemeClr val="bg1"/>
                  </a:solidFill>
                </a:endParaRPr>
              </a:p>
            </xdr:txBody>
          </xdr:sp>
          <xdr:sp macro="" textlink="Chart!G155">
            <xdr:nvSpPr>
              <xdr:cNvPr id="419" name="Rounded Rectangle 167">
                <a:extLst>
                  <a:ext uri="{FF2B5EF4-FFF2-40B4-BE49-F238E27FC236}">
                    <a16:creationId xmlns:a16="http://schemas.microsoft.com/office/drawing/2014/main" id="{D2518593-73AE-4424-AE1A-78D8657C7B2C}"/>
                  </a:ext>
                </a:extLst>
              </xdr:cNvPr>
              <xdr:cNvSpPr/>
            </xdr:nvSpPr>
            <xdr:spPr>
              <a:xfrm>
                <a:off x="10642010" y="1362075"/>
                <a:ext cx="960120" cy="459205"/>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FA5B507-0E00-4478-AEFD-363BC9B1779F}" type="TxLink">
                  <a:rPr lang="en-US" sz="1200" b="1" i="0" u="none" strike="noStrike">
                    <a:solidFill>
                      <a:schemeClr val="bg1"/>
                    </a:solidFill>
                    <a:latin typeface="Century Gothic"/>
                  </a:rPr>
                  <a:pPr algn="ctr"/>
                  <a:t>Total COVID
333</a:t>
                </a:fld>
                <a:endParaRPr lang="en-US" sz="1200" b="1">
                  <a:solidFill>
                    <a:schemeClr val="bg1"/>
                  </a:solidFill>
                </a:endParaRPr>
              </a:p>
            </xdr:txBody>
          </xdr:sp>
          <xdr:sp macro="" textlink="Chart!H155">
            <xdr:nvSpPr>
              <xdr:cNvPr id="420" name="Rounded Rectangle 168">
                <a:extLst>
                  <a:ext uri="{FF2B5EF4-FFF2-40B4-BE49-F238E27FC236}">
                    <a16:creationId xmlns:a16="http://schemas.microsoft.com/office/drawing/2014/main" id="{4AB93802-B839-4386-8DC9-FE008F30A767}"/>
                  </a:ext>
                </a:extLst>
              </xdr:cNvPr>
              <xdr:cNvSpPr/>
            </xdr:nvSpPr>
            <xdr:spPr>
              <a:xfrm>
                <a:off x="14887731" y="1362075"/>
                <a:ext cx="960120" cy="459205"/>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83AA9EE-E888-41F1-9DB7-39F4BE925199}" type="TxLink">
                  <a:rPr lang="en-US" sz="1200" b="1" i="0" u="none" strike="noStrike">
                    <a:solidFill>
                      <a:schemeClr val="bg1"/>
                    </a:solidFill>
                    <a:latin typeface="Century Gothic"/>
                  </a:rPr>
                  <a:pPr algn="ctr"/>
                  <a:t>Total COVID
719</a:t>
                </a:fld>
                <a:endParaRPr lang="en-US" sz="1200" b="1">
                  <a:solidFill>
                    <a:schemeClr val="bg1"/>
                  </a:solidFill>
                </a:endParaRPr>
              </a:p>
            </xdr:txBody>
          </xdr:sp>
        </xdr:grpSp>
      </xdr:grpSp>
      <mc:AlternateContent xmlns:mc="http://schemas.openxmlformats.org/markup-compatibility/2006" xmlns:a14="http://schemas.microsoft.com/office/drawing/2010/main">
        <mc:Choice Requires="a14">
          <xdr:pic>
            <xdr:nvPicPr>
              <xdr:cNvPr id="269" name="Picture 268">
                <a:extLst>
                  <a:ext uri="{FF2B5EF4-FFF2-40B4-BE49-F238E27FC236}">
                    <a16:creationId xmlns:a16="http://schemas.microsoft.com/office/drawing/2014/main" id="{FC9D0234-227C-4E72-86A0-57B69209E93F}"/>
                  </a:ext>
                </a:extLst>
              </xdr:cNvPr>
              <xdr:cNvPicPr>
                <a:picLocks noChangeAspect="1" noChangeArrowheads="1"/>
                <a:extLst>
                  <a:ext uri="{84589F7E-364E-4C9E-8A38-B11213B215E9}">
                    <a14:cameraTool cellRange="Labels!$A$7" spid="_x0000_s6257"/>
                  </a:ext>
                </a:extLst>
              </xdr:cNvPicPr>
            </xdr:nvPicPr>
            <xdr:blipFill>
              <a:blip xmlns:r="http://schemas.openxmlformats.org/officeDocument/2006/relationships" r:embed="rId28"/>
              <a:srcRect/>
              <a:stretch>
                <a:fillRect/>
              </a:stretch>
            </xdr:blipFill>
            <xdr:spPr bwMode="auto">
              <a:xfrm>
                <a:off x="112938" y="7572716"/>
                <a:ext cx="321541" cy="1289957"/>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mc:Choice>
        <mc:Fallback xmlns=""/>
      </mc:AlternateContent>
      <xdr:sp macro="" textlink="Chart!E142">
        <xdr:nvSpPr>
          <xdr:cNvPr id="287" name="Rounded Rectangle 142">
            <a:extLst>
              <a:ext uri="{FF2B5EF4-FFF2-40B4-BE49-F238E27FC236}">
                <a16:creationId xmlns:a16="http://schemas.microsoft.com/office/drawing/2014/main" id="{BAEB0ECE-809E-4D08-A6DA-12F02E85C06F}"/>
              </a:ext>
            </a:extLst>
          </xdr:cNvPr>
          <xdr:cNvSpPr/>
        </xdr:nvSpPr>
        <xdr:spPr>
          <a:xfrm>
            <a:off x="1222496" y="8689225"/>
            <a:ext cx="640080" cy="347315"/>
          </a:xfrm>
          <a:prstGeom prst="roundRect">
            <a:avLst/>
          </a:prstGeom>
          <a:pattFill prst="pct5">
            <a:fgClr>
              <a:schemeClr val="accent1">
                <a:lumMod val="50000"/>
              </a:schemeClr>
            </a:fgClr>
            <a:bgClr>
              <a:schemeClr val="bg1"/>
            </a:bgClr>
          </a:patt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A569DD5-04F7-48BE-9154-37C577C5086D}" type="TxLink">
              <a:rPr lang="en-US" sz="800" b="0" i="0" u="none" strike="noStrike">
                <a:solidFill>
                  <a:schemeClr val="accent1">
                    <a:lumMod val="50000"/>
                  </a:schemeClr>
                </a:solidFill>
                <a:latin typeface="Century Gothic"/>
              </a:rPr>
              <a:pPr algn="ctr"/>
              <a:t>Crisis COVID 
289 - 17.3%</a:t>
            </a:fld>
            <a:endParaRPr lang="en-US" sz="600" b="0">
              <a:solidFill>
                <a:schemeClr val="accent1">
                  <a:lumMod val="50000"/>
                </a:schemeClr>
              </a:solidFill>
            </a:endParaRPr>
          </a:p>
        </xdr:txBody>
      </xdr:sp>
      <xdr:sp macro="" textlink="Chart!E153">
        <xdr:nvSpPr>
          <xdr:cNvPr id="288" name="Rounded Rectangle 144">
            <a:extLst>
              <a:ext uri="{FF2B5EF4-FFF2-40B4-BE49-F238E27FC236}">
                <a16:creationId xmlns:a16="http://schemas.microsoft.com/office/drawing/2014/main" id="{E7012FBA-9B10-4C0F-84F1-3046E00CEE6C}"/>
              </a:ext>
            </a:extLst>
          </xdr:cNvPr>
          <xdr:cNvSpPr/>
        </xdr:nvSpPr>
        <xdr:spPr>
          <a:xfrm>
            <a:off x="3354171" y="8689225"/>
            <a:ext cx="640080" cy="347315"/>
          </a:xfrm>
          <a:prstGeom prst="roundRect">
            <a:avLst/>
          </a:prstGeom>
          <a:pattFill prst="pct5">
            <a:fgClr>
              <a:schemeClr val="accent1"/>
            </a:fgClr>
            <a:bgClr>
              <a:schemeClr val="bg1"/>
            </a:bgClr>
          </a:patt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534BBFF-95E9-429D-A5DA-48523A17AD4A}" type="TxLink">
              <a:rPr lang="en-US" sz="800" b="0" i="0" u="none" strike="noStrike">
                <a:solidFill>
                  <a:schemeClr val="accent1"/>
                </a:solidFill>
                <a:latin typeface="Century Gothic"/>
              </a:rPr>
              <a:pPr algn="ctr"/>
              <a:t>Crisis COVID 
448 - 14.7%</a:t>
            </a:fld>
            <a:endParaRPr lang="en-US" sz="600" b="0">
              <a:solidFill>
                <a:schemeClr val="accent1"/>
              </a:solidFill>
            </a:endParaRPr>
          </a:p>
        </xdr:txBody>
      </xdr:sp>
      <xdr:sp macro="" textlink="Chart!F142">
        <xdr:nvSpPr>
          <xdr:cNvPr id="289" name="Rounded Rectangle 147">
            <a:extLst>
              <a:ext uri="{FF2B5EF4-FFF2-40B4-BE49-F238E27FC236}">
                <a16:creationId xmlns:a16="http://schemas.microsoft.com/office/drawing/2014/main" id="{E7255D10-4FDE-402E-9EC9-49B8EED556A2}"/>
              </a:ext>
            </a:extLst>
          </xdr:cNvPr>
          <xdr:cNvSpPr/>
        </xdr:nvSpPr>
        <xdr:spPr>
          <a:xfrm>
            <a:off x="5471679" y="8689225"/>
            <a:ext cx="640080" cy="347315"/>
          </a:xfrm>
          <a:prstGeom prst="roundRect">
            <a:avLst/>
          </a:prstGeom>
          <a:pattFill prst="pct5">
            <a:fgClr>
              <a:schemeClr val="accent5">
                <a:lumMod val="50000"/>
              </a:schemeClr>
            </a:fgClr>
            <a:bgClr>
              <a:schemeClr val="bg1"/>
            </a:bgClr>
          </a:patt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5D49191-2C40-4883-8D24-82F01176A02C}" type="TxLink">
              <a:rPr lang="en-US" sz="800" b="0" i="0" u="none" strike="noStrike">
                <a:solidFill>
                  <a:schemeClr val="accent5">
                    <a:lumMod val="50000"/>
                  </a:schemeClr>
                </a:solidFill>
                <a:latin typeface="Century Gothic"/>
              </a:rPr>
              <a:pPr algn="ctr"/>
              <a:t>Crisis COVID 
289 - 22.8%</a:t>
            </a:fld>
            <a:endParaRPr lang="en-US" sz="600" b="0">
              <a:solidFill>
                <a:schemeClr val="accent5">
                  <a:lumMod val="50000"/>
                </a:schemeClr>
              </a:solidFill>
            </a:endParaRPr>
          </a:p>
        </xdr:txBody>
      </xdr:sp>
      <xdr:sp macro="" textlink="Chart!F153">
        <xdr:nvSpPr>
          <xdr:cNvPr id="290" name="Rounded Rectangle 149">
            <a:extLst>
              <a:ext uri="{FF2B5EF4-FFF2-40B4-BE49-F238E27FC236}">
                <a16:creationId xmlns:a16="http://schemas.microsoft.com/office/drawing/2014/main" id="{C744EEDF-B209-44E5-A315-1641E9A6EDEC}"/>
              </a:ext>
            </a:extLst>
          </xdr:cNvPr>
          <xdr:cNvSpPr/>
        </xdr:nvSpPr>
        <xdr:spPr>
          <a:xfrm>
            <a:off x="7583352" y="8689225"/>
            <a:ext cx="640080" cy="347315"/>
          </a:xfrm>
          <a:prstGeom prst="roundRect">
            <a:avLst/>
          </a:prstGeom>
          <a:pattFill prst="pct5">
            <a:fgClr>
              <a:schemeClr val="accent5"/>
            </a:fgClr>
            <a:bgClr>
              <a:schemeClr val="bg1"/>
            </a:bgClr>
          </a:patt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8CD494F-9504-4014-82CE-45445228847D}" type="TxLink">
              <a:rPr lang="en-US" sz="800" b="0" i="0" u="none" strike="noStrike">
                <a:solidFill>
                  <a:schemeClr val="accent5"/>
                </a:solidFill>
                <a:latin typeface="Century Gothic"/>
              </a:rPr>
              <a:pPr algn="ctr"/>
              <a:t>Crisis COVID 
448 - 23.9%</a:t>
            </a:fld>
            <a:endParaRPr lang="en-US" sz="600" b="0">
              <a:solidFill>
                <a:schemeClr val="accent5"/>
              </a:solidFill>
            </a:endParaRPr>
          </a:p>
        </xdr:txBody>
      </xdr:sp>
      <xdr:sp macro="" textlink="Chart!G142">
        <xdr:nvSpPr>
          <xdr:cNvPr id="291" name="Rounded Rectangle 151">
            <a:extLst>
              <a:ext uri="{FF2B5EF4-FFF2-40B4-BE49-F238E27FC236}">
                <a16:creationId xmlns:a16="http://schemas.microsoft.com/office/drawing/2014/main" id="{6DB8687E-BD2D-4851-B5AA-DC7CD574FBAF}"/>
              </a:ext>
            </a:extLst>
          </xdr:cNvPr>
          <xdr:cNvSpPr/>
        </xdr:nvSpPr>
        <xdr:spPr>
          <a:xfrm>
            <a:off x="9713532" y="8689225"/>
            <a:ext cx="640080" cy="347315"/>
          </a:xfrm>
          <a:prstGeom prst="roundRect">
            <a:avLst/>
          </a:prstGeom>
          <a:pattFill prst="pct5">
            <a:fgClr>
              <a:schemeClr val="accent6">
                <a:lumMod val="75000"/>
              </a:schemeClr>
            </a:fgClr>
            <a:bgClr>
              <a:schemeClr val="bg1"/>
            </a:bgClr>
          </a:patt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CECC4BC-97AE-4421-9212-E32B9B55FD21}" type="TxLink">
              <a:rPr lang="en-US" sz="800" b="0" i="0" u="none" strike="noStrike">
                <a:solidFill>
                  <a:schemeClr val="accent6">
                    <a:lumMod val="50000"/>
                  </a:schemeClr>
                </a:solidFill>
                <a:latin typeface="Century Gothic"/>
              </a:rPr>
              <a:pPr algn="ctr"/>
              <a:t>Crisis COVID 
289 - 51.2%</a:t>
            </a:fld>
            <a:endParaRPr lang="en-US" sz="600" b="0">
              <a:solidFill>
                <a:schemeClr val="accent6">
                  <a:lumMod val="50000"/>
                </a:schemeClr>
              </a:solidFill>
            </a:endParaRPr>
          </a:p>
        </xdr:txBody>
      </xdr:sp>
      <xdr:sp macro="" textlink="Chart!G153">
        <xdr:nvSpPr>
          <xdr:cNvPr id="292" name="Rounded Rectangle 153">
            <a:extLst>
              <a:ext uri="{FF2B5EF4-FFF2-40B4-BE49-F238E27FC236}">
                <a16:creationId xmlns:a16="http://schemas.microsoft.com/office/drawing/2014/main" id="{E85860D2-EC94-4D90-B0D9-72D0D40933DF}"/>
              </a:ext>
            </a:extLst>
          </xdr:cNvPr>
          <xdr:cNvSpPr/>
        </xdr:nvSpPr>
        <xdr:spPr>
          <a:xfrm>
            <a:off x="11823060" y="8689225"/>
            <a:ext cx="640080" cy="347315"/>
          </a:xfrm>
          <a:prstGeom prst="roundRect">
            <a:avLst/>
          </a:prstGeom>
          <a:pattFill prst="pct5">
            <a:fgClr>
              <a:schemeClr val="accent6"/>
            </a:fgClr>
            <a:bgClr>
              <a:schemeClr val="bg1"/>
            </a:bgClr>
          </a:patt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BDA8458-3646-40F1-A345-4B7D430660E5}" type="TxLink">
              <a:rPr lang="en-US" sz="800" b="0" i="0" u="none" strike="noStrike">
                <a:solidFill>
                  <a:schemeClr val="accent6"/>
                </a:solidFill>
                <a:latin typeface="Century Gothic"/>
              </a:rPr>
              <a:pPr algn="ctr"/>
              <a:t>Crisis COVID 
448 - 41.3%</a:t>
            </a:fld>
            <a:endParaRPr lang="en-US" sz="600" b="0">
              <a:solidFill>
                <a:schemeClr val="accent6"/>
              </a:solidFill>
            </a:endParaRPr>
          </a:p>
        </xdr:txBody>
      </xdr:sp>
      <xdr:sp macro="" textlink="Chart!H142">
        <xdr:nvSpPr>
          <xdr:cNvPr id="293" name="Rounded Rectangle 155">
            <a:extLst>
              <a:ext uri="{FF2B5EF4-FFF2-40B4-BE49-F238E27FC236}">
                <a16:creationId xmlns:a16="http://schemas.microsoft.com/office/drawing/2014/main" id="{5BE646B6-DD64-44E3-B3AF-898052B3A43A}"/>
              </a:ext>
            </a:extLst>
          </xdr:cNvPr>
          <xdr:cNvSpPr/>
        </xdr:nvSpPr>
        <xdr:spPr>
          <a:xfrm>
            <a:off x="13946903" y="8689225"/>
            <a:ext cx="640080" cy="347315"/>
          </a:xfrm>
          <a:prstGeom prst="roundRect">
            <a:avLst/>
          </a:prstGeom>
          <a:pattFill prst="pct5">
            <a:fgClr>
              <a:schemeClr val="accent4">
                <a:lumMod val="50000"/>
              </a:schemeClr>
            </a:fgClr>
            <a:bgClr>
              <a:schemeClr val="bg1"/>
            </a:bgClr>
          </a:patt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E19FB42-C5CA-4553-A3DD-2C7CE6F305E9}" type="TxLink">
              <a:rPr lang="en-US" sz="800" b="0" i="0" u="none" strike="noStrike">
                <a:solidFill>
                  <a:schemeClr val="accent4">
                    <a:lumMod val="50000"/>
                  </a:schemeClr>
                </a:solidFill>
                <a:latin typeface="Century Gothic"/>
              </a:rPr>
              <a:pPr algn="ctr"/>
              <a:t>Crisis COVID 
289 - 100.0%</a:t>
            </a:fld>
            <a:endParaRPr lang="en-US" sz="600" b="0">
              <a:solidFill>
                <a:schemeClr val="accent4">
                  <a:lumMod val="50000"/>
                </a:schemeClr>
              </a:solidFill>
            </a:endParaRPr>
          </a:p>
        </xdr:txBody>
      </xdr:sp>
      <xdr:sp macro="" textlink="Chart!H153">
        <xdr:nvSpPr>
          <xdr:cNvPr id="294" name="Rounded Rectangle 157">
            <a:extLst>
              <a:ext uri="{FF2B5EF4-FFF2-40B4-BE49-F238E27FC236}">
                <a16:creationId xmlns:a16="http://schemas.microsoft.com/office/drawing/2014/main" id="{DCCAE843-D9D1-4ACF-8C8F-59C5FC71F2CC}"/>
              </a:ext>
            </a:extLst>
          </xdr:cNvPr>
          <xdr:cNvSpPr/>
        </xdr:nvSpPr>
        <xdr:spPr>
          <a:xfrm>
            <a:off x="16060093" y="8689225"/>
            <a:ext cx="640080" cy="347315"/>
          </a:xfrm>
          <a:prstGeom prst="roundRect">
            <a:avLst/>
          </a:prstGeom>
          <a:pattFill prst="pct5">
            <a:fgClr>
              <a:schemeClr val="accent4"/>
            </a:fgClr>
            <a:bgClr>
              <a:schemeClr val="bg1"/>
            </a:bgClr>
          </a:patt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C1B6555-1996-483C-9C2D-E02DFF3AEE9C}" type="TxLink">
              <a:rPr lang="en-US" sz="800" b="0" i="0" u="none" strike="noStrike">
                <a:solidFill>
                  <a:schemeClr val="accent4"/>
                </a:solidFill>
                <a:latin typeface="Century Gothic"/>
              </a:rPr>
              <a:pPr algn="ctr"/>
              <a:t>Crisis COVID 
448 - 96.0%</a:t>
            </a:fld>
            <a:endParaRPr lang="en-US" sz="600" b="0">
              <a:solidFill>
                <a:schemeClr val="accent4"/>
              </a:solidFill>
            </a:endParaRPr>
          </a:p>
        </xdr:txBody>
      </xdr:sp>
    </xdr:grpSp>
    <xdr:clientData/>
  </xdr:twoCellAnchor>
  <xdr:twoCellAnchor>
    <xdr:from>
      <xdr:col>0</xdr:col>
      <xdr:colOff>9525</xdr:colOff>
      <xdr:row>52</xdr:row>
      <xdr:rowOff>83912</xdr:rowOff>
    </xdr:from>
    <xdr:to>
      <xdr:col>17</xdr:col>
      <xdr:colOff>104775</xdr:colOff>
      <xdr:row>67</xdr:row>
      <xdr:rowOff>55337</xdr:rowOff>
    </xdr:to>
    <xdr:grpSp>
      <xdr:nvGrpSpPr>
        <xdr:cNvPr id="10" name="Group 9">
          <a:extLst>
            <a:ext uri="{FF2B5EF4-FFF2-40B4-BE49-F238E27FC236}">
              <a16:creationId xmlns:a16="http://schemas.microsoft.com/office/drawing/2014/main" id="{018AECFC-654A-4437-9B2C-721102F96B06}"/>
            </a:ext>
          </a:extLst>
        </xdr:cNvPr>
        <xdr:cNvGrpSpPr/>
      </xdr:nvGrpSpPr>
      <xdr:grpSpPr>
        <a:xfrm>
          <a:off x="8467" y="9023654"/>
          <a:ext cx="18855266" cy="2451100"/>
          <a:chOff x="9525" y="9096943"/>
          <a:chExt cx="17537906" cy="2471738"/>
        </a:xfrm>
      </xdr:grpSpPr>
      <xdr:grpSp>
        <xdr:nvGrpSpPr>
          <xdr:cNvPr id="9" name="Group 8">
            <a:extLst>
              <a:ext uri="{FF2B5EF4-FFF2-40B4-BE49-F238E27FC236}">
                <a16:creationId xmlns:a16="http://schemas.microsoft.com/office/drawing/2014/main" id="{805C48FB-83FB-4E20-B527-F049EB0DE04B}"/>
              </a:ext>
            </a:extLst>
          </xdr:cNvPr>
          <xdr:cNvGrpSpPr/>
        </xdr:nvGrpSpPr>
        <xdr:grpSpPr>
          <a:xfrm>
            <a:off x="9525" y="9096943"/>
            <a:ext cx="17537906" cy="2471738"/>
            <a:chOff x="9525" y="9096943"/>
            <a:chExt cx="17537906" cy="2471738"/>
          </a:xfrm>
        </xdr:grpSpPr>
        <xdr:grpSp>
          <xdr:nvGrpSpPr>
            <xdr:cNvPr id="421" name="Group 420">
              <a:extLst>
                <a:ext uri="{FF2B5EF4-FFF2-40B4-BE49-F238E27FC236}">
                  <a16:creationId xmlns:a16="http://schemas.microsoft.com/office/drawing/2014/main" id="{DF5AA8EB-184C-4538-9FAF-7BED873E6BEE}"/>
                </a:ext>
              </a:extLst>
            </xdr:cNvPr>
            <xdr:cNvGrpSpPr/>
          </xdr:nvGrpSpPr>
          <xdr:grpSpPr>
            <a:xfrm>
              <a:off x="9525" y="9096943"/>
              <a:ext cx="17537906" cy="2471738"/>
              <a:chOff x="9525" y="1390650"/>
              <a:chExt cx="17573625" cy="2543175"/>
            </a:xfrm>
          </xdr:grpSpPr>
          <xdr:sp macro="" textlink="">
            <xdr:nvSpPr>
              <xdr:cNvPr id="422" name="Rectangle: Rounded Corners 421">
                <a:extLst>
                  <a:ext uri="{FF2B5EF4-FFF2-40B4-BE49-F238E27FC236}">
                    <a16:creationId xmlns:a16="http://schemas.microsoft.com/office/drawing/2014/main" id="{7918941B-182D-440F-B77B-9E26FFC07F57}"/>
                  </a:ext>
                </a:extLst>
              </xdr:cNvPr>
              <xdr:cNvSpPr/>
            </xdr:nvSpPr>
            <xdr:spPr>
              <a:xfrm>
                <a:off x="9525" y="1390650"/>
                <a:ext cx="17573625" cy="1866900"/>
              </a:xfrm>
              <a:prstGeom prst="roundRect">
                <a:avLst/>
              </a:prstGeom>
              <a:solidFill>
                <a:schemeClr val="bg1">
                  <a:lumMod val="85000"/>
                </a:schemeClr>
              </a:solidFill>
              <a:ln w="28575">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23" name="Group 422">
                <a:extLst>
                  <a:ext uri="{FF2B5EF4-FFF2-40B4-BE49-F238E27FC236}">
                    <a16:creationId xmlns:a16="http://schemas.microsoft.com/office/drawing/2014/main" id="{2D6E0640-04A4-4CB3-B417-137069CDB1C5}"/>
                  </a:ext>
                </a:extLst>
              </xdr:cNvPr>
              <xdr:cNvGrpSpPr/>
            </xdr:nvGrpSpPr>
            <xdr:grpSpPr>
              <a:xfrm>
                <a:off x="542925" y="1438275"/>
                <a:ext cx="16906875" cy="2495550"/>
                <a:chOff x="542925" y="1362075"/>
                <a:chExt cx="16906875" cy="2554605"/>
              </a:xfrm>
            </xdr:grpSpPr>
            <xdr:graphicFrame macro="">
              <xdr:nvGraphicFramePr>
                <xdr:cNvPr id="425" name="Chart 424">
                  <a:extLst>
                    <a:ext uri="{FF2B5EF4-FFF2-40B4-BE49-F238E27FC236}">
                      <a16:creationId xmlns:a16="http://schemas.microsoft.com/office/drawing/2014/main" id="{CB2E832B-8422-489F-AC33-7C3DBD8D3DE4}"/>
                    </a:ext>
                  </a:extLst>
                </xdr:cNvPr>
                <xdr:cNvGraphicFramePr>
                  <a:graphicFrameLocks/>
                </xdr:cNvGraphicFramePr>
              </xdr:nvGraphicFramePr>
              <xdr:xfrm>
                <a:off x="542925" y="1447800"/>
                <a:ext cx="2046846" cy="2468880"/>
              </xdr:xfrm>
              <a:graphic>
                <a:graphicData uri="http://schemas.openxmlformats.org/drawingml/2006/chart">
                  <c:chart xmlns:c="http://schemas.openxmlformats.org/drawingml/2006/chart" xmlns:r="http://schemas.openxmlformats.org/officeDocument/2006/relationships" r:id="rId29"/>
                </a:graphicData>
              </a:graphic>
            </xdr:graphicFrame>
            <xdr:graphicFrame macro="">
              <xdr:nvGraphicFramePr>
                <xdr:cNvPr id="426" name="Chart 425">
                  <a:extLst>
                    <a:ext uri="{FF2B5EF4-FFF2-40B4-BE49-F238E27FC236}">
                      <a16:creationId xmlns:a16="http://schemas.microsoft.com/office/drawing/2014/main" id="{795344AC-B219-49B8-B705-247E1B4568EB}"/>
                    </a:ext>
                  </a:extLst>
                </xdr:cNvPr>
                <xdr:cNvGraphicFramePr>
                  <a:graphicFrameLocks/>
                </xdr:cNvGraphicFramePr>
              </xdr:nvGraphicFramePr>
              <xdr:xfrm>
                <a:off x="2665786" y="1447800"/>
                <a:ext cx="2046846" cy="2468880"/>
              </xdr:xfrm>
              <a:graphic>
                <a:graphicData uri="http://schemas.openxmlformats.org/drawingml/2006/chart">
                  <c:chart xmlns:c="http://schemas.openxmlformats.org/drawingml/2006/chart" xmlns:r="http://schemas.openxmlformats.org/officeDocument/2006/relationships" r:id="rId30"/>
                </a:graphicData>
              </a:graphic>
            </xdr:graphicFrame>
            <xdr:graphicFrame macro="">
              <xdr:nvGraphicFramePr>
                <xdr:cNvPr id="427" name="Chart 426">
                  <a:extLst>
                    <a:ext uri="{FF2B5EF4-FFF2-40B4-BE49-F238E27FC236}">
                      <a16:creationId xmlns:a16="http://schemas.microsoft.com/office/drawing/2014/main" id="{E63F010A-C9CD-44EC-BE45-8263AE5B86C8}"/>
                    </a:ext>
                  </a:extLst>
                </xdr:cNvPr>
                <xdr:cNvGraphicFramePr>
                  <a:graphicFrameLocks/>
                </xdr:cNvGraphicFramePr>
              </xdr:nvGraphicFramePr>
              <xdr:xfrm>
                <a:off x="4788648" y="1447800"/>
                <a:ext cx="2046846" cy="2468880"/>
              </xdr:xfrm>
              <a:graphic>
                <a:graphicData uri="http://schemas.openxmlformats.org/drawingml/2006/chart">
                  <c:chart xmlns:c="http://schemas.openxmlformats.org/drawingml/2006/chart" xmlns:r="http://schemas.openxmlformats.org/officeDocument/2006/relationships" r:id="rId31"/>
                </a:graphicData>
              </a:graphic>
            </xdr:graphicFrame>
            <xdr:graphicFrame macro="">
              <xdr:nvGraphicFramePr>
                <xdr:cNvPr id="428" name="Chart 427">
                  <a:extLst>
                    <a:ext uri="{FF2B5EF4-FFF2-40B4-BE49-F238E27FC236}">
                      <a16:creationId xmlns:a16="http://schemas.microsoft.com/office/drawing/2014/main" id="{6C45A445-9834-4DFE-B278-4E898CB5CD4D}"/>
                    </a:ext>
                  </a:extLst>
                </xdr:cNvPr>
                <xdr:cNvGraphicFramePr>
                  <a:graphicFrameLocks/>
                </xdr:cNvGraphicFramePr>
              </xdr:nvGraphicFramePr>
              <xdr:xfrm>
                <a:off x="6911509" y="1447800"/>
                <a:ext cx="2046846" cy="2468880"/>
              </xdr:xfrm>
              <a:graphic>
                <a:graphicData uri="http://schemas.openxmlformats.org/drawingml/2006/chart">
                  <c:chart xmlns:c="http://schemas.openxmlformats.org/drawingml/2006/chart" xmlns:r="http://schemas.openxmlformats.org/officeDocument/2006/relationships" r:id="rId32"/>
                </a:graphicData>
              </a:graphic>
            </xdr:graphicFrame>
            <xdr:graphicFrame macro="">
              <xdr:nvGraphicFramePr>
                <xdr:cNvPr id="429" name="Chart 428">
                  <a:extLst>
                    <a:ext uri="{FF2B5EF4-FFF2-40B4-BE49-F238E27FC236}">
                      <a16:creationId xmlns:a16="http://schemas.microsoft.com/office/drawing/2014/main" id="{A603603A-F6E8-4677-8A2F-CF342DCDE421}"/>
                    </a:ext>
                  </a:extLst>
                </xdr:cNvPr>
                <xdr:cNvGraphicFramePr>
                  <a:graphicFrameLocks/>
                </xdr:cNvGraphicFramePr>
              </xdr:nvGraphicFramePr>
              <xdr:xfrm>
                <a:off x="9034370" y="1447800"/>
                <a:ext cx="2046846" cy="2468880"/>
              </xdr:xfrm>
              <a:graphic>
                <a:graphicData uri="http://schemas.openxmlformats.org/drawingml/2006/chart">
                  <c:chart xmlns:c="http://schemas.openxmlformats.org/drawingml/2006/chart" xmlns:r="http://schemas.openxmlformats.org/officeDocument/2006/relationships" r:id="rId33"/>
                </a:graphicData>
              </a:graphic>
            </xdr:graphicFrame>
            <xdr:graphicFrame macro="">
              <xdr:nvGraphicFramePr>
                <xdr:cNvPr id="430" name="Chart 429">
                  <a:extLst>
                    <a:ext uri="{FF2B5EF4-FFF2-40B4-BE49-F238E27FC236}">
                      <a16:creationId xmlns:a16="http://schemas.microsoft.com/office/drawing/2014/main" id="{D3893A1E-A32C-45C9-8B4D-C73D1929D5FB}"/>
                    </a:ext>
                  </a:extLst>
                </xdr:cNvPr>
                <xdr:cNvGraphicFramePr>
                  <a:graphicFrameLocks/>
                </xdr:cNvGraphicFramePr>
              </xdr:nvGraphicFramePr>
              <xdr:xfrm>
                <a:off x="11157231" y="1447800"/>
                <a:ext cx="2046846" cy="2468880"/>
              </xdr:xfrm>
              <a:graphic>
                <a:graphicData uri="http://schemas.openxmlformats.org/drawingml/2006/chart">
                  <c:chart xmlns:c="http://schemas.openxmlformats.org/drawingml/2006/chart" xmlns:r="http://schemas.openxmlformats.org/officeDocument/2006/relationships" r:id="rId34"/>
                </a:graphicData>
              </a:graphic>
            </xdr:graphicFrame>
            <xdr:graphicFrame macro="">
              <xdr:nvGraphicFramePr>
                <xdr:cNvPr id="431" name="Chart 430">
                  <a:extLst>
                    <a:ext uri="{FF2B5EF4-FFF2-40B4-BE49-F238E27FC236}">
                      <a16:creationId xmlns:a16="http://schemas.microsoft.com/office/drawing/2014/main" id="{9952269F-F8E6-4DD2-B3AC-B5802B9F62B0}"/>
                    </a:ext>
                  </a:extLst>
                </xdr:cNvPr>
                <xdr:cNvGraphicFramePr>
                  <a:graphicFrameLocks/>
                </xdr:cNvGraphicFramePr>
              </xdr:nvGraphicFramePr>
              <xdr:xfrm>
                <a:off x="13280093" y="1447800"/>
                <a:ext cx="2046846" cy="2468880"/>
              </xdr:xfrm>
              <a:graphic>
                <a:graphicData uri="http://schemas.openxmlformats.org/drawingml/2006/chart">
                  <c:chart xmlns:c="http://schemas.openxmlformats.org/drawingml/2006/chart" xmlns:r="http://schemas.openxmlformats.org/officeDocument/2006/relationships" r:id="rId35"/>
                </a:graphicData>
              </a:graphic>
            </xdr:graphicFrame>
            <xdr:graphicFrame macro="">
              <xdr:nvGraphicFramePr>
                <xdr:cNvPr id="432" name="Chart 431">
                  <a:extLst>
                    <a:ext uri="{FF2B5EF4-FFF2-40B4-BE49-F238E27FC236}">
                      <a16:creationId xmlns:a16="http://schemas.microsoft.com/office/drawing/2014/main" id="{8CA1FBCE-D5C6-48F9-A24F-7FA715081AA0}"/>
                    </a:ext>
                  </a:extLst>
                </xdr:cNvPr>
                <xdr:cNvGraphicFramePr>
                  <a:graphicFrameLocks/>
                </xdr:cNvGraphicFramePr>
              </xdr:nvGraphicFramePr>
              <xdr:xfrm>
                <a:off x="15402954" y="1447800"/>
                <a:ext cx="2046846" cy="2468880"/>
              </xdr:xfrm>
              <a:graphic>
                <a:graphicData uri="http://schemas.openxmlformats.org/drawingml/2006/chart">
                  <c:chart xmlns:c="http://schemas.openxmlformats.org/drawingml/2006/chart" xmlns:r="http://schemas.openxmlformats.org/officeDocument/2006/relationships" r:id="rId36"/>
                </a:graphicData>
              </a:graphic>
            </xdr:graphicFrame>
            <xdr:sp macro="" textlink="Chart!E163">
              <xdr:nvSpPr>
                <xdr:cNvPr id="433" name="Rounded Rectangle 140">
                  <a:extLst>
                    <a:ext uri="{FF2B5EF4-FFF2-40B4-BE49-F238E27FC236}">
                      <a16:creationId xmlns:a16="http://schemas.microsoft.com/office/drawing/2014/main" id="{9C1DFD8B-C21C-44D6-A5FD-1CFB4305CB7B}"/>
                    </a:ext>
                  </a:extLst>
                </xdr:cNvPr>
                <xdr:cNvSpPr/>
              </xdr:nvSpPr>
              <xdr:spPr>
                <a:xfrm>
                  <a:off x="1210375" y="1362075"/>
                  <a:ext cx="711946" cy="22860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7F96137-22CB-4589-9D88-B6E23AD00378}" type="TxLink">
                    <a:rPr lang="en-US" sz="1400" b="1" i="0" u="none" strike="noStrike">
                      <a:solidFill>
                        <a:schemeClr val="bg1">
                          <a:lumMod val="100000"/>
                        </a:schemeClr>
                      </a:solidFill>
                      <a:latin typeface="Century Gothic"/>
                    </a:rPr>
                    <a:pPr algn="ctr"/>
                    <a:t>12</a:t>
                  </a:fld>
                  <a:endParaRPr lang="en-US" sz="1400" b="1">
                    <a:solidFill>
                      <a:schemeClr val="bg1">
                        <a:lumMod val="100000"/>
                      </a:schemeClr>
                    </a:solidFill>
                  </a:endParaRPr>
                </a:p>
              </xdr:txBody>
            </xdr:sp>
            <xdr:sp macro="" textlink="Chart!E174">
              <xdr:nvSpPr>
                <xdr:cNvPr id="434" name="Rounded Rectangle 141">
                  <a:extLst>
                    <a:ext uri="{FF2B5EF4-FFF2-40B4-BE49-F238E27FC236}">
                      <a16:creationId xmlns:a16="http://schemas.microsoft.com/office/drawing/2014/main" id="{6B91BB0F-8597-49D1-ACB0-75E431D7416D}"/>
                    </a:ext>
                  </a:extLst>
                </xdr:cNvPr>
                <xdr:cNvSpPr/>
              </xdr:nvSpPr>
              <xdr:spPr>
                <a:xfrm>
                  <a:off x="3333236" y="1362075"/>
                  <a:ext cx="711946" cy="2286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3F2D2B0-2D9C-4A54-9863-54D66CB4C322}" type="TxLink">
                    <a:rPr lang="en-US" sz="1400" b="1" i="0" u="none" strike="noStrike">
                      <a:solidFill>
                        <a:schemeClr val="bg1">
                          <a:lumMod val="100000"/>
                        </a:schemeClr>
                      </a:solidFill>
                      <a:latin typeface="Century Gothic"/>
                    </a:rPr>
                    <a:pPr algn="ctr"/>
                    <a:t>40</a:t>
                  </a:fld>
                  <a:endParaRPr lang="en-US" sz="1400" b="1">
                    <a:solidFill>
                      <a:schemeClr val="bg1">
                        <a:lumMod val="100000"/>
                      </a:schemeClr>
                    </a:solidFill>
                  </a:endParaRPr>
                </a:p>
              </xdr:txBody>
            </xdr:sp>
            <xdr:sp macro="" textlink="Chart!E164">
              <xdr:nvSpPr>
                <xdr:cNvPr id="435" name="Rounded Rectangle 142">
                  <a:extLst>
                    <a:ext uri="{FF2B5EF4-FFF2-40B4-BE49-F238E27FC236}">
                      <a16:creationId xmlns:a16="http://schemas.microsoft.com/office/drawing/2014/main" id="{5DC45B1D-1C21-4451-AB03-36E1D9041C2B}"/>
                    </a:ext>
                  </a:extLst>
                </xdr:cNvPr>
                <xdr:cNvSpPr/>
              </xdr:nvSpPr>
              <xdr:spPr>
                <a:xfrm>
                  <a:off x="552195" y="2771775"/>
                  <a:ext cx="641384" cy="36576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1FF9C0C-23E0-4297-9702-44DBB01D5F4F}" type="TxLink">
                    <a:rPr lang="en-US" sz="800" b="0" i="0" u="none" strike="noStrike">
                      <a:solidFill>
                        <a:schemeClr val="bg1">
                          <a:lumMod val="100000"/>
                        </a:schemeClr>
                      </a:solidFill>
                      <a:latin typeface="Century Gothic"/>
                    </a:rPr>
                    <a:pPr algn="ctr"/>
                    <a:t>Max COVID 
42 - 28.6%</a:t>
                  </a:fld>
                  <a:endParaRPr lang="en-US" sz="800" b="0">
                    <a:solidFill>
                      <a:schemeClr val="bg1">
                        <a:lumMod val="100000"/>
                      </a:schemeClr>
                    </a:solidFill>
                  </a:endParaRPr>
                </a:p>
              </xdr:txBody>
            </xdr:sp>
            <xdr:sp macro="" textlink="Chart!E166">
              <xdr:nvSpPr>
                <xdr:cNvPr id="436" name="Rounded Rectangle 143">
                  <a:extLst>
                    <a:ext uri="{FF2B5EF4-FFF2-40B4-BE49-F238E27FC236}">
                      <a16:creationId xmlns:a16="http://schemas.microsoft.com/office/drawing/2014/main" id="{0996D83D-87CF-497C-AF69-664EEF33C9D4}"/>
                    </a:ext>
                  </a:extLst>
                </xdr:cNvPr>
                <xdr:cNvSpPr/>
              </xdr:nvSpPr>
              <xdr:spPr>
                <a:xfrm>
                  <a:off x="1915032" y="2771775"/>
                  <a:ext cx="659709"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D57C36D-45A2-4904-AF64-40C8F4DD721A}" type="TxLink">
                    <a:rPr lang="en-US" sz="800" b="0" i="0" u="none" strike="noStrike">
                      <a:solidFill>
                        <a:schemeClr val="accent1">
                          <a:lumMod val="50000"/>
                        </a:schemeClr>
                      </a:solidFill>
                      <a:latin typeface="Century Gothic"/>
                    </a:rPr>
                    <a:pPr algn="ctr"/>
                    <a:t>All Beds
127 - 9.4%</a:t>
                  </a:fld>
                  <a:endParaRPr lang="en-US" sz="700" b="0">
                    <a:solidFill>
                      <a:schemeClr val="accent1">
                        <a:lumMod val="50000"/>
                      </a:schemeClr>
                    </a:solidFill>
                  </a:endParaRPr>
                </a:p>
              </xdr:txBody>
            </xdr:sp>
            <xdr:sp macro="" textlink="Chart!E175">
              <xdr:nvSpPr>
                <xdr:cNvPr id="437" name="Rounded Rectangle 144">
                  <a:extLst>
                    <a:ext uri="{FF2B5EF4-FFF2-40B4-BE49-F238E27FC236}">
                      <a16:creationId xmlns:a16="http://schemas.microsoft.com/office/drawing/2014/main" id="{518AA181-C7D7-486E-B12F-81F3110FCAB2}"/>
                    </a:ext>
                  </a:extLst>
                </xdr:cNvPr>
                <xdr:cNvSpPr/>
              </xdr:nvSpPr>
              <xdr:spPr>
                <a:xfrm>
                  <a:off x="2675679" y="2771775"/>
                  <a:ext cx="641384" cy="36576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A888E85-37CC-4CC4-9039-A3CB7B735359}" type="TxLink">
                    <a:rPr lang="en-US" sz="800" b="0" i="0" u="none" strike="noStrike">
                      <a:solidFill>
                        <a:schemeClr val="bg1">
                          <a:lumMod val="100000"/>
                        </a:schemeClr>
                      </a:solidFill>
                      <a:latin typeface="Century Gothic"/>
                    </a:rPr>
                    <a:pPr algn="ctr"/>
                    <a:t>Max COVID 
127 - 31.5%</a:t>
                  </a:fld>
                  <a:endParaRPr lang="en-US" sz="800" b="0">
                    <a:solidFill>
                      <a:schemeClr val="bg1">
                        <a:lumMod val="100000"/>
                      </a:schemeClr>
                    </a:solidFill>
                  </a:endParaRPr>
                </a:p>
              </xdr:txBody>
            </xdr:sp>
            <xdr:sp macro="" textlink="Chart!E177">
              <xdr:nvSpPr>
                <xdr:cNvPr id="438" name="Rounded Rectangle 145">
                  <a:extLst>
                    <a:ext uri="{FF2B5EF4-FFF2-40B4-BE49-F238E27FC236}">
                      <a16:creationId xmlns:a16="http://schemas.microsoft.com/office/drawing/2014/main" id="{BFEF88D7-5DF6-4828-A2ED-48D75852CAB7}"/>
                    </a:ext>
                  </a:extLst>
                </xdr:cNvPr>
                <xdr:cNvSpPr/>
              </xdr:nvSpPr>
              <xdr:spPr>
                <a:xfrm>
                  <a:off x="4035234" y="2771775"/>
                  <a:ext cx="659709"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D8875B3-0072-4350-B015-7F817C08AE9E}" type="TxLink">
                    <a:rPr lang="en-US" sz="800" b="0" i="0" u="none" strike="noStrike">
                      <a:solidFill>
                        <a:schemeClr val="accent1"/>
                      </a:solidFill>
                      <a:latin typeface="Century Gothic"/>
                    </a:rPr>
                    <a:pPr algn="ctr"/>
                    <a:t>All Beds
233 - 17.2%</a:t>
                  </a:fld>
                  <a:endParaRPr lang="en-US" sz="800" b="0">
                    <a:solidFill>
                      <a:schemeClr val="accent1"/>
                    </a:solidFill>
                  </a:endParaRPr>
                </a:p>
              </xdr:txBody>
            </xdr:sp>
            <xdr:sp macro="" textlink="Chart!E178">
              <xdr:nvSpPr>
                <xdr:cNvPr id="439" name="Rounded Rectangle 146">
                  <a:extLst>
                    <a:ext uri="{FF2B5EF4-FFF2-40B4-BE49-F238E27FC236}">
                      <a16:creationId xmlns:a16="http://schemas.microsoft.com/office/drawing/2014/main" id="{2F1A3178-4C84-452B-9517-B3352C1E6C01}"/>
                    </a:ext>
                  </a:extLst>
                </xdr:cNvPr>
                <xdr:cNvSpPr/>
              </xdr:nvSpPr>
              <xdr:spPr>
                <a:xfrm>
                  <a:off x="2130070" y="1362075"/>
                  <a:ext cx="960120" cy="459205"/>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F22A0DE-5673-4E85-82C0-A76143B19BA2}" type="TxLink">
                    <a:rPr lang="en-US" sz="1200" b="1" i="0" u="none" strike="noStrike">
                      <a:solidFill>
                        <a:schemeClr val="bg1"/>
                      </a:solidFill>
                      <a:latin typeface="Century Gothic"/>
                    </a:rPr>
                    <a:pPr algn="ctr"/>
                    <a:t>Total COVID
52</a:t>
                  </a:fld>
                  <a:endParaRPr lang="en-US" sz="1200" b="1">
                    <a:solidFill>
                      <a:schemeClr val="bg1"/>
                    </a:solidFill>
                  </a:endParaRPr>
                </a:p>
              </xdr:txBody>
            </xdr:sp>
            <xdr:sp macro="" textlink="Chart!F164">
              <xdr:nvSpPr>
                <xdr:cNvPr id="440" name="Rounded Rectangle 147">
                  <a:extLst>
                    <a:ext uri="{FF2B5EF4-FFF2-40B4-BE49-F238E27FC236}">
                      <a16:creationId xmlns:a16="http://schemas.microsoft.com/office/drawing/2014/main" id="{766907D4-F3B0-4E89-A028-C6DB2F6631C6}"/>
                    </a:ext>
                  </a:extLst>
                </xdr:cNvPr>
                <xdr:cNvSpPr/>
              </xdr:nvSpPr>
              <xdr:spPr>
                <a:xfrm>
                  <a:off x="4789270" y="2771775"/>
                  <a:ext cx="641384" cy="36576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1081234-0B3E-4F13-B38F-84EBE410BA1A}" type="TxLink">
                    <a:rPr lang="en-US" sz="800" b="0" i="0" u="none" strike="noStrike">
                      <a:solidFill>
                        <a:schemeClr val="bg1">
                          <a:lumMod val="100000"/>
                        </a:schemeClr>
                      </a:solidFill>
                      <a:latin typeface="Century Gothic"/>
                    </a:rPr>
                    <a:pPr algn="ctr"/>
                    <a:t>Max COVID 
42 - 71.4%</a:t>
                  </a:fld>
                  <a:endParaRPr lang="en-US" sz="800" b="0">
                    <a:solidFill>
                      <a:schemeClr val="bg1">
                        <a:lumMod val="100000"/>
                      </a:schemeClr>
                    </a:solidFill>
                  </a:endParaRPr>
                </a:p>
              </xdr:txBody>
            </xdr:sp>
            <xdr:sp macro="" textlink="Chart!F166">
              <xdr:nvSpPr>
                <xdr:cNvPr id="441" name="Rounded Rectangle 148">
                  <a:extLst>
                    <a:ext uri="{FF2B5EF4-FFF2-40B4-BE49-F238E27FC236}">
                      <a16:creationId xmlns:a16="http://schemas.microsoft.com/office/drawing/2014/main" id="{1A00EF48-E30C-4720-B50A-D99FD974BECC}"/>
                    </a:ext>
                  </a:extLst>
                </xdr:cNvPr>
                <xdr:cNvSpPr/>
              </xdr:nvSpPr>
              <xdr:spPr>
                <a:xfrm>
                  <a:off x="6166162" y="2771775"/>
                  <a:ext cx="659709" cy="365760"/>
                </a:xfrm>
                <a:prstGeom prst="roundRect">
                  <a:avLst/>
                </a:prstGeom>
                <a:solidFill>
                  <a:schemeClr val="bg1"/>
                </a:solidFill>
                <a:ln w="19050">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C7F6FEC-24C7-4B94-8273-EC70FAF793D7}" type="TxLink">
                    <a:rPr lang="en-US" sz="800" b="0" i="0" u="none" strike="noStrike">
                      <a:solidFill>
                        <a:schemeClr val="accent5">
                          <a:lumMod val="50000"/>
                        </a:schemeClr>
                      </a:solidFill>
                      <a:latin typeface="Century Gothic"/>
                    </a:rPr>
                    <a:pPr algn="ctr"/>
                    <a:t>All Beds
127 - 23.6%</a:t>
                  </a:fld>
                  <a:endParaRPr lang="en-US" sz="800" b="0">
                    <a:solidFill>
                      <a:schemeClr val="accent5">
                        <a:lumMod val="50000"/>
                      </a:schemeClr>
                    </a:solidFill>
                  </a:endParaRPr>
                </a:p>
              </xdr:txBody>
            </xdr:sp>
            <xdr:sp macro="" textlink="Chart!F175">
              <xdr:nvSpPr>
                <xdr:cNvPr id="442" name="Rounded Rectangle 149">
                  <a:extLst>
                    <a:ext uri="{FF2B5EF4-FFF2-40B4-BE49-F238E27FC236}">
                      <a16:creationId xmlns:a16="http://schemas.microsoft.com/office/drawing/2014/main" id="{972AB13C-FF12-40B4-900B-F3286DC35EAF}"/>
                    </a:ext>
                  </a:extLst>
                </xdr:cNvPr>
                <xdr:cNvSpPr/>
              </xdr:nvSpPr>
              <xdr:spPr>
                <a:xfrm>
                  <a:off x="6918119" y="2771775"/>
                  <a:ext cx="641384" cy="36576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323EAE2-E3E3-45A2-8F70-EE5B5EC1EBA3}" type="TxLink">
                    <a:rPr lang="en-US" sz="800" b="0" i="0" u="none" strike="noStrike">
                      <a:solidFill>
                        <a:schemeClr val="bg1">
                          <a:lumMod val="100000"/>
                        </a:schemeClr>
                      </a:solidFill>
                      <a:latin typeface="Century Gothic"/>
                    </a:rPr>
                    <a:pPr algn="ctr"/>
                    <a:t>Max COVID 
127 - 31.5%</a:t>
                  </a:fld>
                  <a:endParaRPr lang="en-US" sz="800" b="0">
                    <a:solidFill>
                      <a:schemeClr val="bg1">
                        <a:lumMod val="100000"/>
                      </a:schemeClr>
                    </a:solidFill>
                  </a:endParaRPr>
                </a:p>
              </xdr:txBody>
            </xdr:sp>
            <xdr:sp macro="" textlink="Chart!F177">
              <xdr:nvSpPr>
                <xdr:cNvPr id="443" name="Rounded Rectangle 150">
                  <a:extLst>
                    <a:ext uri="{FF2B5EF4-FFF2-40B4-BE49-F238E27FC236}">
                      <a16:creationId xmlns:a16="http://schemas.microsoft.com/office/drawing/2014/main" id="{23FC3427-94FB-44FA-8554-4D7D4B49DC0D}"/>
                    </a:ext>
                  </a:extLst>
                </xdr:cNvPr>
                <xdr:cNvSpPr/>
              </xdr:nvSpPr>
              <xdr:spPr>
                <a:xfrm>
                  <a:off x="8280956" y="2771775"/>
                  <a:ext cx="659709" cy="365760"/>
                </a:xfrm>
                <a:prstGeom prst="roundRect">
                  <a:avLst/>
                </a:prstGeom>
                <a:solidFill>
                  <a:schemeClr val="bg1"/>
                </a:solidFill>
                <a:ln w="19050">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D5F98B2-858A-469F-97BD-40F7F18A0064}" type="TxLink">
                    <a:rPr lang="en-US" sz="800" b="0" i="0" u="none" strike="noStrike">
                      <a:solidFill>
                        <a:schemeClr val="accent5"/>
                      </a:solidFill>
                      <a:latin typeface="Century Gothic"/>
                    </a:rPr>
                    <a:pPr algn="ctr"/>
                    <a:t>All Beds
233 - 17.2%</a:t>
                  </a:fld>
                  <a:endParaRPr lang="en-US" sz="800" b="0">
                    <a:solidFill>
                      <a:schemeClr val="accent5"/>
                    </a:solidFill>
                  </a:endParaRPr>
                </a:p>
              </xdr:txBody>
            </xdr:sp>
            <xdr:sp macro="" textlink="Chart!G164">
              <xdr:nvSpPr>
                <xdr:cNvPr id="444" name="Rounded Rectangle 151">
                  <a:extLst>
                    <a:ext uri="{FF2B5EF4-FFF2-40B4-BE49-F238E27FC236}">
                      <a16:creationId xmlns:a16="http://schemas.microsoft.com/office/drawing/2014/main" id="{A86B8BFD-780E-4C7D-889C-0B8136D158D7}"/>
                    </a:ext>
                  </a:extLst>
                </xdr:cNvPr>
                <xdr:cNvSpPr/>
              </xdr:nvSpPr>
              <xdr:spPr>
                <a:xfrm>
                  <a:off x="9040935" y="2771775"/>
                  <a:ext cx="641384" cy="36576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B103729-3CDC-49BD-B1BC-66D822573F2E}" type="TxLink">
                    <a:rPr lang="en-US" sz="800" b="0" i="0" u="none" strike="noStrike">
                      <a:solidFill>
                        <a:schemeClr val="bg1">
                          <a:lumMod val="100000"/>
                        </a:schemeClr>
                      </a:solidFill>
                      <a:latin typeface="Century Gothic"/>
                    </a:rPr>
                    <a:pPr algn="ctr"/>
                    <a:t>Max COVID 
42 - 71.4%</a:t>
                  </a:fld>
                  <a:endParaRPr lang="en-US" sz="800" b="0">
                    <a:solidFill>
                      <a:schemeClr val="bg1">
                        <a:lumMod val="100000"/>
                      </a:schemeClr>
                    </a:solidFill>
                  </a:endParaRPr>
                </a:p>
              </xdr:txBody>
            </xdr:sp>
            <xdr:sp macro="" textlink="Chart!G166">
              <xdr:nvSpPr>
                <xdr:cNvPr id="445" name="Rounded Rectangle 152">
                  <a:extLst>
                    <a:ext uri="{FF2B5EF4-FFF2-40B4-BE49-F238E27FC236}">
                      <a16:creationId xmlns:a16="http://schemas.microsoft.com/office/drawing/2014/main" id="{7547BBBF-097A-41A6-ABF6-A26F6832A9D8}"/>
                    </a:ext>
                  </a:extLst>
                </xdr:cNvPr>
                <xdr:cNvSpPr/>
              </xdr:nvSpPr>
              <xdr:spPr>
                <a:xfrm>
                  <a:off x="10406966" y="2771775"/>
                  <a:ext cx="659709" cy="365760"/>
                </a:xfrm>
                <a:prstGeom prst="roundRect">
                  <a:avLst/>
                </a:prstGeom>
                <a:solidFill>
                  <a:schemeClr val="bg1"/>
                </a:solidFill>
                <a:ln w="1905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56F4D48-BAF4-4146-8C81-0F0391275E76}" type="TxLink">
                    <a:rPr lang="en-US" sz="800" b="0" i="0" u="none" strike="noStrike">
                      <a:solidFill>
                        <a:schemeClr val="accent6">
                          <a:lumMod val="75000"/>
                        </a:schemeClr>
                      </a:solidFill>
                      <a:latin typeface="Century Gothic"/>
                    </a:rPr>
                    <a:pPr algn="ctr"/>
                    <a:t>All Beds
127 - 23.6%</a:t>
                  </a:fld>
                  <a:endParaRPr lang="en-US" sz="800" b="0">
                    <a:solidFill>
                      <a:schemeClr val="accent6">
                        <a:lumMod val="75000"/>
                      </a:schemeClr>
                    </a:solidFill>
                  </a:endParaRPr>
                </a:p>
              </xdr:txBody>
            </xdr:sp>
            <xdr:sp macro="" textlink="Chart!G175">
              <xdr:nvSpPr>
                <xdr:cNvPr id="446" name="Rounded Rectangle 153">
                  <a:extLst>
                    <a:ext uri="{FF2B5EF4-FFF2-40B4-BE49-F238E27FC236}">
                      <a16:creationId xmlns:a16="http://schemas.microsoft.com/office/drawing/2014/main" id="{DA99E4F3-1EFA-4289-842E-047045F989B4}"/>
                    </a:ext>
                  </a:extLst>
                </xdr:cNvPr>
                <xdr:cNvSpPr/>
              </xdr:nvSpPr>
              <xdr:spPr>
                <a:xfrm>
                  <a:off x="11166501" y="2771775"/>
                  <a:ext cx="641384" cy="36576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A9084B4-E677-42EF-923F-C67C00584C48}" type="TxLink">
                    <a:rPr lang="en-US" sz="800" b="0" i="0" u="none" strike="noStrike">
                      <a:solidFill>
                        <a:schemeClr val="bg1">
                          <a:lumMod val="100000"/>
                        </a:schemeClr>
                      </a:solidFill>
                      <a:latin typeface="Century Gothic"/>
                    </a:rPr>
                    <a:pPr algn="ctr"/>
                    <a:t>Max COVID 
127 - 44.1%</a:t>
                  </a:fld>
                  <a:endParaRPr lang="en-US" sz="800" b="0">
                    <a:solidFill>
                      <a:schemeClr val="bg1">
                        <a:lumMod val="100000"/>
                      </a:schemeClr>
                    </a:solidFill>
                  </a:endParaRPr>
                </a:p>
              </xdr:txBody>
            </xdr:sp>
            <xdr:sp macro="" textlink="Chart!G177">
              <xdr:nvSpPr>
                <xdr:cNvPr id="447" name="Rounded Rectangle 154">
                  <a:extLst>
                    <a:ext uri="{FF2B5EF4-FFF2-40B4-BE49-F238E27FC236}">
                      <a16:creationId xmlns:a16="http://schemas.microsoft.com/office/drawing/2014/main" id="{B918D463-4B28-45F4-876A-C704D1FD4D55}"/>
                    </a:ext>
                  </a:extLst>
                </xdr:cNvPr>
                <xdr:cNvSpPr/>
              </xdr:nvSpPr>
              <xdr:spPr>
                <a:xfrm>
                  <a:off x="12529338" y="2771775"/>
                  <a:ext cx="659709" cy="365760"/>
                </a:xfrm>
                <a:prstGeom prst="roundRect">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ABA3EBA-53D2-43C8-A222-ED48D45A8F40}" type="TxLink">
                    <a:rPr lang="en-US" sz="800" b="0" i="0" u="none" strike="noStrike">
                      <a:solidFill>
                        <a:schemeClr val="accent6"/>
                      </a:solidFill>
                      <a:latin typeface="Century Gothic"/>
                    </a:rPr>
                    <a:pPr algn="ctr"/>
                    <a:t>All Beds
233 - 24.0%</a:t>
                  </a:fld>
                  <a:endParaRPr lang="en-US" sz="800" b="0">
                    <a:solidFill>
                      <a:schemeClr val="accent6"/>
                    </a:solidFill>
                  </a:endParaRPr>
                </a:p>
              </xdr:txBody>
            </xdr:sp>
            <xdr:sp macro="" textlink="Chart!H164">
              <xdr:nvSpPr>
                <xdr:cNvPr id="448" name="Rounded Rectangle 155">
                  <a:extLst>
                    <a:ext uri="{FF2B5EF4-FFF2-40B4-BE49-F238E27FC236}">
                      <a16:creationId xmlns:a16="http://schemas.microsoft.com/office/drawing/2014/main" id="{1BE8BE33-6EDD-46A2-93B7-55DF73066B5D}"/>
                    </a:ext>
                  </a:extLst>
                </xdr:cNvPr>
                <xdr:cNvSpPr/>
              </xdr:nvSpPr>
              <xdr:spPr>
                <a:xfrm>
                  <a:off x="13293266" y="2771775"/>
                  <a:ext cx="641384" cy="36576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1900FDF-0358-4E6E-8F29-9A7200F92E6E}" type="TxLink">
                    <a:rPr lang="en-US" sz="800" b="0" i="0" u="none" strike="noStrike">
                      <a:solidFill>
                        <a:schemeClr val="bg1">
                          <a:lumMod val="100000"/>
                        </a:schemeClr>
                      </a:solidFill>
                      <a:latin typeface="Century Gothic"/>
                    </a:rPr>
                    <a:pPr algn="ctr"/>
                    <a:t>Max COVID 
42 - 71.4%</a:t>
                  </a:fld>
                  <a:endParaRPr lang="en-US" sz="800" b="0">
                    <a:solidFill>
                      <a:schemeClr val="bg1">
                        <a:lumMod val="100000"/>
                      </a:schemeClr>
                    </a:solidFill>
                  </a:endParaRPr>
                </a:p>
              </xdr:txBody>
            </xdr:sp>
            <xdr:sp macro="" textlink="Chart!H166">
              <xdr:nvSpPr>
                <xdr:cNvPr id="449" name="Rounded Rectangle 156">
                  <a:extLst>
                    <a:ext uri="{FF2B5EF4-FFF2-40B4-BE49-F238E27FC236}">
                      <a16:creationId xmlns:a16="http://schemas.microsoft.com/office/drawing/2014/main" id="{169F3BCA-4CCA-4107-8D5D-F07BB3EBFA29}"/>
                    </a:ext>
                  </a:extLst>
                </xdr:cNvPr>
                <xdr:cNvSpPr/>
              </xdr:nvSpPr>
              <xdr:spPr>
                <a:xfrm>
                  <a:off x="14658188" y="2771775"/>
                  <a:ext cx="659709" cy="365760"/>
                </a:xfrm>
                <a:prstGeom prst="roundRect">
                  <a:avLst/>
                </a:prstGeom>
                <a:solidFill>
                  <a:schemeClr val="bg1"/>
                </a:solidFill>
                <a:ln w="19050">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0CB1780-59DE-4917-B6FF-12F9BD4CBBB8}" type="TxLink">
                    <a:rPr lang="en-US" sz="800" b="0" i="0" u="none" strike="noStrike">
                      <a:solidFill>
                        <a:schemeClr val="accent4">
                          <a:lumMod val="50000"/>
                        </a:schemeClr>
                      </a:solidFill>
                      <a:latin typeface="Century Gothic"/>
                    </a:rPr>
                    <a:pPr algn="ctr"/>
                    <a:t>All Beds
127 - 23.6%</a:t>
                  </a:fld>
                  <a:endParaRPr lang="en-US" sz="800" b="0">
                    <a:solidFill>
                      <a:schemeClr val="accent4">
                        <a:lumMod val="50000"/>
                      </a:schemeClr>
                    </a:solidFill>
                  </a:endParaRPr>
                </a:p>
              </xdr:txBody>
            </xdr:sp>
            <xdr:sp macro="" textlink="Chart!H175">
              <xdr:nvSpPr>
                <xdr:cNvPr id="450" name="Rounded Rectangle 157">
                  <a:extLst>
                    <a:ext uri="{FF2B5EF4-FFF2-40B4-BE49-F238E27FC236}">
                      <a16:creationId xmlns:a16="http://schemas.microsoft.com/office/drawing/2014/main" id="{11A7E915-C8B7-4C00-8762-B8E2A5B0E376}"/>
                    </a:ext>
                  </a:extLst>
                </xdr:cNvPr>
                <xdr:cNvSpPr/>
              </xdr:nvSpPr>
              <xdr:spPr>
                <a:xfrm>
                  <a:off x="15413420" y="2771775"/>
                  <a:ext cx="641384" cy="36576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A6E7134-E841-45C4-BF63-3FB2440CD08E}" type="TxLink">
                    <a:rPr lang="en-US" sz="800" b="0" i="0" u="none" strike="noStrike">
                      <a:solidFill>
                        <a:schemeClr val="bg1">
                          <a:lumMod val="100000"/>
                        </a:schemeClr>
                      </a:solidFill>
                      <a:latin typeface="Century Gothic"/>
                    </a:rPr>
                    <a:pPr algn="ctr"/>
                    <a:t>Max COVID 
127 - 61.4%</a:t>
                  </a:fld>
                  <a:endParaRPr lang="en-US" sz="800" b="0">
                    <a:solidFill>
                      <a:schemeClr val="bg1">
                        <a:lumMod val="100000"/>
                      </a:schemeClr>
                    </a:solidFill>
                  </a:endParaRPr>
                </a:p>
              </xdr:txBody>
            </xdr:sp>
            <xdr:sp macro="" textlink="Chart!H177">
              <xdr:nvSpPr>
                <xdr:cNvPr id="451" name="Rounded Rectangle 158">
                  <a:extLst>
                    <a:ext uri="{FF2B5EF4-FFF2-40B4-BE49-F238E27FC236}">
                      <a16:creationId xmlns:a16="http://schemas.microsoft.com/office/drawing/2014/main" id="{B0846377-AB5E-4970-8F80-6BBFFBC6EBA9}"/>
                    </a:ext>
                  </a:extLst>
                </xdr:cNvPr>
                <xdr:cNvSpPr/>
              </xdr:nvSpPr>
              <xdr:spPr>
                <a:xfrm>
                  <a:off x="16773023" y="2771775"/>
                  <a:ext cx="659709" cy="365760"/>
                </a:xfrm>
                <a:prstGeom prst="roundRect">
                  <a:avLst/>
                </a:prstGeom>
                <a:solidFill>
                  <a:schemeClr val="bg1"/>
                </a:solidFill>
                <a:ln w="19050">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12DEA0F-3F80-41A8-950E-7C3757603E76}" type="TxLink">
                    <a:rPr lang="en-US" sz="800" b="0" i="0" u="none" strike="noStrike">
                      <a:solidFill>
                        <a:schemeClr val="accent4"/>
                      </a:solidFill>
                      <a:latin typeface="Century Gothic"/>
                    </a:rPr>
                    <a:pPr algn="ctr"/>
                    <a:t>All Beds
233 - 33.5%</a:t>
                  </a:fld>
                  <a:endParaRPr lang="en-US" sz="800" b="0">
                    <a:solidFill>
                      <a:schemeClr val="accent4"/>
                    </a:solidFill>
                  </a:endParaRPr>
                </a:p>
              </xdr:txBody>
            </xdr:sp>
            <xdr:sp macro="" textlink="Chart!F163">
              <xdr:nvSpPr>
                <xdr:cNvPr id="452" name="Rounded Rectangle 159">
                  <a:extLst>
                    <a:ext uri="{FF2B5EF4-FFF2-40B4-BE49-F238E27FC236}">
                      <a16:creationId xmlns:a16="http://schemas.microsoft.com/office/drawing/2014/main" id="{A1F2CC3B-43D1-4783-90DD-C8E399F61801}"/>
                    </a:ext>
                  </a:extLst>
                </xdr:cNvPr>
                <xdr:cNvSpPr/>
              </xdr:nvSpPr>
              <xdr:spPr>
                <a:xfrm>
                  <a:off x="5456097" y="1362075"/>
                  <a:ext cx="711946" cy="22860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E9A8A4F-492F-4D1F-A785-4B7F27EFC3C0}" type="TxLink">
                    <a:rPr lang="en-US" sz="1400" b="1" i="0" u="none" strike="noStrike">
                      <a:solidFill>
                        <a:schemeClr val="bg1">
                          <a:lumMod val="100000"/>
                        </a:schemeClr>
                      </a:solidFill>
                      <a:latin typeface="Century Gothic"/>
                    </a:rPr>
                    <a:pPr algn="ctr"/>
                    <a:t>30</a:t>
                  </a:fld>
                  <a:endParaRPr lang="en-US" sz="1400" b="1">
                    <a:solidFill>
                      <a:schemeClr val="bg1">
                        <a:lumMod val="100000"/>
                      </a:schemeClr>
                    </a:solidFill>
                  </a:endParaRPr>
                </a:p>
              </xdr:txBody>
            </xdr:sp>
            <xdr:sp macro="" textlink="Chart!F174">
              <xdr:nvSpPr>
                <xdr:cNvPr id="453" name="Rounded Rectangle 160">
                  <a:extLst>
                    <a:ext uri="{FF2B5EF4-FFF2-40B4-BE49-F238E27FC236}">
                      <a16:creationId xmlns:a16="http://schemas.microsoft.com/office/drawing/2014/main" id="{40018A6D-8446-43F7-ADDD-F37913E9C445}"/>
                    </a:ext>
                  </a:extLst>
                </xdr:cNvPr>
                <xdr:cNvSpPr/>
              </xdr:nvSpPr>
              <xdr:spPr>
                <a:xfrm>
                  <a:off x="7578959" y="1362075"/>
                  <a:ext cx="711946" cy="22860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B052921-6919-4AFF-AE42-60679484C21E}" type="TxLink">
                    <a:rPr lang="en-US" sz="1400" b="1" i="0" u="none" strike="noStrike">
                      <a:solidFill>
                        <a:schemeClr val="bg1">
                          <a:lumMod val="100000"/>
                        </a:schemeClr>
                      </a:solidFill>
                      <a:latin typeface="Century Gothic"/>
                    </a:rPr>
                    <a:pPr algn="ctr"/>
                    <a:t>40</a:t>
                  </a:fld>
                  <a:endParaRPr lang="en-US" sz="1400" b="1">
                    <a:solidFill>
                      <a:schemeClr val="bg1">
                        <a:lumMod val="100000"/>
                      </a:schemeClr>
                    </a:solidFill>
                  </a:endParaRPr>
                </a:p>
              </xdr:txBody>
            </xdr:sp>
            <xdr:sp macro="" textlink="Chart!G163">
              <xdr:nvSpPr>
                <xdr:cNvPr id="454" name="Rounded Rectangle 161">
                  <a:extLst>
                    <a:ext uri="{FF2B5EF4-FFF2-40B4-BE49-F238E27FC236}">
                      <a16:creationId xmlns:a16="http://schemas.microsoft.com/office/drawing/2014/main" id="{7BA3ABC5-8390-43ED-BCB2-A85C04E4C0BE}"/>
                    </a:ext>
                  </a:extLst>
                </xdr:cNvPr>
                <xdr:cNvSpPr/>
              </xdr:nvSpPr>
              <xdr:spPr>
                <a:xfrm>
                  <a:off x="9701820" y="1362075"/>
                  <a:ext cx="711946" cy="22860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D0E81A0-EF27-4364-9A93-075D64B483EA}" type="TxLink">
                    <a:rPr lang="en-US" sz="1400" b="1" i="0" u="none" strike="noStrike">
                      <a:solidFill>
                        <a:schemeClr val="bg1">
                          <a:lumMod val="100000"/>
                        </a:schemeClr>
                      </a:solidFill>
                      <a:latin typeface="Century Gothic"/>
                    </a:rPr>
                    <a:pPr algn="ctr"/>
                    <a:t>30</a:t>
                  </a:fld>
                  <a:endParaRPr lang="en-US" sz="1400" b="1">
                    <a:solidFill>
                      <a:schemeClr val="bg1">
                        <a:lumMod val="100000"/>
                      </a:schemeClr>
                    </a:solidFill>
                  </a:endParaRPr>
                </a:p>
              </xdr:txBody>
            </xdr:sp>
            <xdr:sp macro="" textlink="Chart!G174">
              <xdr:nvSpPr>
                <xdr:cNvPr id="455" name="Rounded Rectangle 162">
                  <a:extLst>
                    <a:ext uri="{FF2B5EF4-FFF2-40B4-BE49-F238E27FC236}">
                      <a16:creationId xmlns:a16="http://schemas.microsoft.com/office/drawing/2014/main" id="{DF923165-0056-4B70-BFF7-DD96B170F025}"/>
                    </a:ext>
                  </a:extLst>
                </xdr:cNvPr>
                <xdr:cNvSpPr/>
              </xdr:nvSpPr>
              <xdr:spPr>
                <a:xfrm>
                  <a:off x="11824681" y="1362075"/>
                  <a:ext cx="711946" cy="22860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C42C066-886B-45B5-9CFF-C91CFAC30D3F}" type="TxLink">
                    <a:rPr lang="en-US" sz="1400" b="1" i="0" u="none" strike="noStrike">
                      <a:solidFill>
                        <a:schemeClr val="bg1">
                          <a:lumMod val="100000"/>
                        </a:schemeClr>
                      </a:solidFill>
                      <a:latin typeface="Century Gothic"/>
                    </a:rPr>
                    <a:pPr algn="ctr"/>
                    <a:t>56</a:t>
                  </a:fld>
                  <a:endParaRPr lang="en-US" sz="1400" b="1">
                    <a:solidFill>
                      <a:schemeClr val="bg1">
                        <a:lumMod val="100000"/>
                      </a:schemeClr>
                    </a:solidFill>
                  </a:endParaRPr>
                </a:p>
              </xdr:txBody>
            </xdr:sp>
            <xdr:sp macro="" textlink="Chart!H163">
              <xdr:nvSpPr>
                <xdr:cNvPr id="456" name="Rounded Rectangle 163">
                  <a:extLst>
                    <a:ext uri="{FF2B5EF4-FFF2-40B4-BE49-F238E27FC236}">
                      <a16:creationId xmlns:a16="http://schemas.microsoft.com/office/drawing/2014/main" id="{28616749-09D0-4980-A712-D8C890F19E31}"/>
                    </a:ext>
                  </a:extLst>
                </xdr:cNvPr>
                <xdr:cNvSpPr/>
              </xdr:nvSpPr>
              <xdr:spPr>
                <a:xfrm>
                  <a:off x="13947542" y="1362075"/>
                  <a:ext cx="711946" cy="22860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4F31149-E7CD-4A25-BA8B-ADDC8AD62389}" type="TxLink">
                    <a:rPr lang="en-US" sz="1400" b="1" i="0" u="none" strike="noStrike">
                      <a:solidFill>
                        <a:schemeClr val="bg1">
                          <a:lumMod val="100000"/>
                        </a:schemeClr>
                      </a:solidFill>
                      <a:latin typeface="Century Gothic"/>
                    </a:rPr>
                    <a:pPr algn="ctr"/>
                    <a:t>30</a:t>
                  </a:fld>
                  <a:endParaRPr lang="en-US" sz="1400" b="1">
                    <a:solidFill>
                      <a:schemeClr val="bg1">
                        <a:lumMod val="100000"/>
                      </a:schemeClr>
                    </a:solidFill>
                  </a:endParaRPr>
                </a:p>
              </xdr:txBody>
            </xdr:sp>
            <xdr:sp macro="" textlink="Chart!H174">
              <xdr:nvSpPr>
                <xdr:cNvPr id="457" name="Rounded Rectangle 164">
                  <a:extLst>
                    <a:ext uri="{FF2B5EF4-FFF2-40B4-BE49-F238E27FC236}">
                      <a16:creationId xmlns:a16="http://schemas.microsoft.com/office/drawing/2014/main" id="{36553F89-E1D6-405F-A3DE-BFD1C9711E35}"/>
                    </a:ext>
                  </a:extLst>
                </xdr:cNvPr>
                <xdr:cNvSpPr/>
              </xdr:nvSpPr>
              <xdr:spPr>
                <a:xfrm>
                  <a:off x="16070404" y="1362075"/>
                  <a:ext cx="711946" cy="22860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7C4C4D3-673C-4C11-A01A-0E758FE5459F}" type="TxLink">
                    <a:rPr lang="en-US" sz="1400" b="1" i="0" u="none" strike="noStrike">
                      <a:solidFill>
                        <a:schemeClr val="bg1">
                          <a:lumMod val="100000"/>
                        </a:schemeClr>
                      </a:solidFill>
                      <a:latin typeface="Century Gothic"/>
                    </a:rPr>
                    <a:pPr algn="ctr"/>
                    <a:t>78</a:t>
                  </a:fld>
                  <a:endParaRPr lang="en-US" sz="1400" b="1">
                    <a:solidFill>
                      <a:schemeClr val="bg1">
                        <a:lumMod val="100000"/>
                      </a:schemeClr>
                    </a:solidFill>
                  </a:endParaRPr>
                </a:p>
              </xdr:txBody>
            </xdr:sp>
            <xdr:sp macro="" textlink="Chart!F178">
              <xdr:nvSpPr>
                <xdr:cNvPr id="458" name="Rounded Rectangle 165">
                  <a:extLst>
                    <a:ext uri="{FF2B5EF4-FFF2-40B4-BE49-F238E27FC236}">
                      <a16:creationId xmlns:a16="http://schemas.microsoft.com/office/drawing/2014/main" id="{882E18F7-9A8F-4F4D-B8DE-0729E6A208A2}"/>
                    </a:ext>
                  </a:extLst>
                </xdr:cNvPr>
                <xdr:cNvSpPr/>
              </xdr:nvSpPr>
              <xdr:spPr>
                <a:xfrm>
                  <a:off x="6386040" y="1362075"/>
                  <a:ext cx="960120" cy="459205"/>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F1476A3-5B2E-473C-AEB2-2EF36C55084C}" type="TxLink">
                    <a:rPr lang="en-US" sz="1200" b="1" i="0" u="none" strike="noStrike">
                      <a:solidFill>
                        <a:schemeClr val="bg1"/>
                      </a:solidFill>
                      <a:latin typeface="Century Gothic"/>
                    </a:rPr>
                    <a:pPr algn="ctr"/>
                    <a:t>Total COVID
70</a:t>
                  </a:fld>
                  <a:endParaRPr lang="en-US" sz="1200" b="1">
                    <a:solidFill>
                      <a:schemeClr val="bg1"/>
                    </a:solidFill>
                  </a:endParaRPr>
                </a:p>
              </xdr:txBody>
            </xdr:sp>
            <xdr:sp macro="" textlink="Chart!G178">
              <xdr:nvSpPr>
                <xdr:cNvPr id="459" name="Rounded Rectangle 167">
                  <a:extLst>
                    <a:ext uri="{FF2B5EF4-FFF2-40B4-BE49-F238E27FC236}">
                      <a16:creationId xmlns:a16="http://schemas.microsoft.com/office/drawing/2014/main" id="{376DA2F3-7CF9-45EC-8943-06E570F8B320}"/>
                    </a:ext>
                  </a:extLst>
                </xdr:cNvPr>
                <xdr:cNvSpPr/>
              </xdr:nvSpPr>
              <xdr:spPr>
                <a:xfrm>
                  <a:off x="10642010" y="1362075"/>
                  <a:ext cx="960120" cy="459205"/>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C9B2EB5-C328-4FC5-AF75-CBA021CD5A35}" type="TxLink">
                    <a:rPr lang="en-US" sz="1200" b="1" i="0" u="none" strike="noStrike">
                      <a:solidFill>
                        <a:schemeClr val="bg1"/>
                      </a:solidFill>
                      <a:latin typeface="Century Gothic"/>
                    </a:rPr>
                    <a:pPr algn="ctr"/>
                    <a:t>Total COVID
86</a:t>
                  </a:fld>
                  <a:endParaRPr lang="en-US" sz="1200" b="1">
                    <a:solidFill>
                      <a:schemeClr val="bg1"/>
                    </a:solidFill>
                  </a:endParaRPr>
                </a:p>
              </xdr:txBody>
            </xdr:sp>
            <xdr:sp macro="" textlink="Chart!H178">
              <xdr:nvSpPr>
                <xdr:cNvPr id="460" name="Rounded Rectangle 168">
                  <a:extLst>
                    <a:ext uri="{FF2B5EF4-FFF2-40B4-BE49-F238E27FC236}">
                      <a16:creationId xmlns:a16="http://schemas.microsoft.com/office/drawing/2014/main" id="{FDA66F8B-BD43-4253-B4AA-BAEFCE665333}"/>
                    </a:ext>
                  </a:extLst>
                </xdr:cNvPr>
                <xdr:cNvSpPr/>
              </xdr:nvSpPr>
              <xdr:spPr>
                <a:xfrm>
                  <a:off x="14887731" y="1362075"/>
                  <a:ext cx="960120" cy="459205"/>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548E976-BBEA-44DF-9571-DD60DF4B4663}" type="TxLink">
                    <a:rPr lang="en-US" sz="1200" b="1" i="0" u="none" strike="noStrike">
                      <a:solidFill>
                        <a:schemeClr val="bg1"/>
                      </a:solidFill>
                      <a:latin typeface="Century Gothic"/>
                    </a:rPr>
                    <a:pPr algn="ctr"/>
                    <a:t>Total COVID
108</a:t>
                  </a:fld>
                  <a:endParaRPr lang="en-US" sz="1200" b="1">
                    <a:solidFill>
                      <a:schemeClr val="bg1"/>
                    </a:solidFill>
                  </a:endParaRPr>
                </a:p>
              </xdr:txBody>
            </xdr:sp>
          </xdr:grpSp>
        </xdr:grpSp>
        <mc:AlternateContent xmlns:mc="http://schemas.openxmlformats.org/markup-compatibility/2006" xmlns:a14="http://schemas.microsoft.com/office/drawing/2010/main">
          <mc:Choice Requires="a14">
            <xdr:pic>
              <xdr:nvPicPr>
                <xdr:cNvPr id="268" name="Picture 267">
                  <a:extLst>
                    <a:ext uri="{FF2B5EF4-FFF2-40B4-BE49-F238E27FC236}">
                      <a16:creationId xmlns:a16="http://schemas.microsoft.com/office/drawing/2014/main" id="{DC9A875E-00E2-4B2D-97D0-39CAF7FA81A8}"/>
                    </a:ext>
                  </a:extLst>
                </xdr:cNvPr>
                <xdr:cNvPicPr>
                  <a:picLocks noChangeAspect="1" noChangeArrowheads="1"/>
                  <a:extLst>
                    <a:ext uri="{84589F7E-364E-4C9E-8A38-B11213B215E9}">
                      <a14:cameraTool cellRange="Labels!$A$9" spid="_x0000_s6258"/>
                    </a:ext>
                  </a:extLst>
                </xdr:cNvPicPr>
              </xdr:nvPicPr>
              <xdr:blipFill>
                <a:blip xmlns:r="http://schemas.openxmlformats.org/officeDocument/2006/relationships" r:embed="rId37"/>
                <a:srcRect/>
                <a:stretch>
                  <a:fillRect/>
                </a:stretch>
              </xdr:blipFill>
              <xdr:spPr bwMode="auto">
                <a:xfrm>
                  <a:off x="112938" y="9362735"/>
                  <a:ext cx="321541" cy="1300163"/>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mc:Choice>
          <mc:Fallback xmlns=""/>
        </mc:AlternateContent>
      </xdr:grpSp>
      <xdr:sp macro="" textlink="Chart!E165">
        <xdr:nvSpPr>
          <xdr:cNvPr id="295" name="Rounded Rectangle 142">
            <a:extLst>
              <a:ext uri="{FF2B5EF4-FFF2-40B4-BE49-F238E27FC236}">
                <a16:creationId xmlns:a16="http://schemas.microsoft.com/office/drawing/2014/main" id="{0788C9CC-6629-431F-9251-C55982E87C3C}"/>
              </a:ext>
            </a:extLst>
          </xdr:cNvPr>
          <xdr:cNvSpPr/>
        </xdr:nvSpPr>
        <xdr:spPr>
          <a:xfrm>
            <a:off x="1231125" y="10481659"/>
            <a:ext cx="640080" cy="347268"/>
          </a:xfrm>
          <a:prstGeom prst="roundRect">
            <a:avLst/>
          </a:prstGeom>
          <a:pattFill prst="pct5">
            <a:fgClr>
              <a:schemeClr val="accent1">
                <a:lumMod val="50000"/>
              </a:schemeClr>
            </a:fgClr>
            <a:bgClr>
              <a:schemeClr val="bg1"/>
            </a:bgClr>
          </a:patt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7BE50A0-2814-403C-AD47-30F83BC22F77}" type="TxLink">
              <a:rPr lang="en-US" sz="800" b="0" i="0" u="none" strike="noStrike">
                <a:solidFill>
                  <a:schemeClr val="accent1">
                    <a:lumMod val="50000"/>
                  </a:schemeClr>
                </a:solidFill>
                <a:latin typeface="Century Gothic"/>
              </a:rPr>
              <a:pPr algn="ctr"/>
              <a:t>Crisis COVID 
42 - 28.6%</a:t>
            </a:fld>
            <a:endParaRPr lang="en-US" sz="600" b="0">
              <a:solidFill>
                <a:schemeClr val="accent1">
                  <a:lumMod val="50000"/>
                </a:schemeClr>
              </a:solidFill>
            </a:endParaRPr>
          </a:p>
        </xdr:txBody>
      </xdr:sp>
      <xdr:sp macro="" textlink="Chart!E176">
        <xdr:nvSpPr>
          <xdr:cNvPr id="296" name="Rounded Rectangle 144">
            <a:extLst>
              <a:ext uri="{FF2B5EF4-FFF2-40B4-BE49-F238E27FC236}">
                <a16:creationId xmlns:a16="http://schemas.microsoft.com/office/drawing/2014/main" id="{863695FA-653E-4715-A8A1-39AED132DEA3}"/>
              </a:ext>
            </a:extLst>
          </xdr:cNvPr>
          <xdr:cNvSpPr/>
        </xdr:nvSpPr>
        <xdr:spPr>
          <a:xfrm>
            <a:off x="3348656" y="10481659"/>
            <a:ext cx="640080" cy="347268"/>
          </a:xfrm>
          <a:prstGeom prst="roundRect">
            <a:avLst/>
          </a:prstGeom>
          <a:pattFill prst="pct5">
            <a:fgClr>
              <a:schemeClr val="accent1">
                <a:lumMod val="50000"/>
              </a:schemeClr>
            </a:fgClr>
            <a:bgClr>
              <a:schemeClr val="bg1"/>
            </a:bgClr>
          </a:patt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C0C2139-1C74-40BB-A2CE-970E916F46EB}" type="TxLink">
              <a:rPr lang="en-US" sz="800" b="0" i="0" u="none" strike="noStrike">
                <a:solidFill>
                  <a:schemeClr val="accent1"/>
                </a:solidFill>
                <a:latin typeface="Century Gothic"/>
              </a:rPr>
              <a:pPr algn="ctr"/>
              <a:t>Crisis COVID 
127 - 31.5%</a:t>
            </a:fld>
            <a:endParaRPr lang="en-US" sz="600" b="0">
              <a:solidFill>
                <a:schemeClr val="accent1"/>
              </a:solidFill>
            </a:endParaRPr>
          </a:p>
        </xdr:txBody>
      </xdr:sp>
      <xdr:sp macro="" textlink="Chart!F165">
        <xdr:nvSpPr>
          <xdr:cNvPr id="297" name="Rounded Rectangle 147">
            <a:extLst>
              <a:ext uri="{FF2B5EF4-FFF2-40B4-BE49-F238E27FC236}">
                <a16:creationId xmlns:a16="http://schemas.microsoft.com/office/drawing/2014/main" id="{658B7BB7-7D65-48DD-AAB9-ABF8C517F118}"/>
              </a:ext>
            </a:extLst>
          </xdr:cNvPr>
          <xdr:cNvSpPr/>
        </xdr:nvSpPr>
        <xdr:spPr>
          <a:xfrm>
            <a:off x="5466602" y="10481659"/>
            <a:ext cx="640080" cy="347268"/>
          </a:xfrm>
          <a:prstGeom prst="roundRect">
            <a:avLst/>
          </a:prstGeom>
          <a:pattFill prst="pct5">
            <a:fgClr>
              <a:schemeClr val="accent5">
                <a:lumMod val="50000"/>
              </a:schemeClr>
            </a:fgClr>
            <a:bgClr>
              <a:schemeClr val="bg1"/>
            </a:bgClr>
          </a:patt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2FB08CC-70A5-4F68-8C28-F20360D87F93}" type="TxLink">
              <a:rPr lang="en-US" sz="800" b="0" i="0" u="none" strike="noStrike">
                <a:solidFill>
                  <a:schemeClr val="accent5">
                    <a:lumMod val="50000"/>
                  </a:schemeClr>
                </a:solidFill>
                <a:latin typeface="Century Gothic"/>
              </a:rPr>
              <a:pPr algn="ctr"/>
              <a:t>Crisis COVID 
42 - 71.4%</a:t>
            </a:fld>
            <a:endParaRPr lang="en-US" sz="600" b="0">
              <a:solidFill>
                <a:schemeClr val="accent5">
                  <a:lumMod val="50000"/>
                </a:schemeClr>
              </a:solidFill>
            </a:endParaRPr>
          </a:p>
        </xdr:txBody>
      </xdr:sp>
      <xdr:sp macro="" textlink="Chart!F176">
        <xdr:nvSpPr>
          <xdr:cNvPr id="299" name="Rounded Rectangle 149">
            <a:extLst>
              <a:ext uri="{FF2B5EF4-FFF2-40B4-BE49-F238E27FC236}">
                <a16:creationId xmlns:a16="http://schemas.microsoft.com/office/drawing/2014/main" id="{D4400625-A676-4A77-B372-C52944AF0CD4}"/>
              </a:ext>
            </a:extLst>
          </xdr:cNvPr>
          <xdr:cNvSpPr/>
        </xdr:nvSpPr>
        <xdr:spPr>
          <a:xfrm>
            <a:off x="7584110" y="10481659"/>
            <a:ext cx="640080" cy="347268"/>
          </a:xfrm>
          <a:prstGeom prst="roundRect">
            <a:avLst/>
          </a:prstGeom>
          <a:pattFill prst="pct5">
            <a:fgClr>
              <a:schemeClr val="accent5"/>
            </a:fgClr>
            <a:bgClr>
              <a:schemeClr val="bg1"/>
            </a:bgClr>
          </a:patt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79DC1C5-94F1-42C4-8CF8-E7F12A980FF3}" type="TxLink">
              <a:rPr lang="en-US" sz="800" b="0" i="0" u="none" strike="noStrike">
                <a:solidFill>
                  <a:schemeClr val="accent5"/>
                </a:solidFill>
                <a:latin typeface="Century Gothic"/>
              </a:rPr>
              <a:pPr algn="ctr"/>
              <a:t>Crisis COVID 
127 - 31.5%</a:t>
            </a:fld>
            <a:endParaRPr lang="en-US" sz="600" b="0">
              <a:solidFill>
                <a:schemeClr val="accent5"/>
              </a:solidFill>
            </a:endParaRPr>
          </a:p>
        </xdr:txBody>
      </xdr:sp>
      <xdr:sp macro="" textlink="Chart!G165">
        <xdr:nvSpPr>
          <xdr:cNvPr id="301" name="Rounded Rectangle 151">
            <a:extLst>
              <a:ext uri="{FF2B5EF4-FFF2-40B4-BE49-F238E27FC236}">
                <a16:creationId xmlns:a16="http://schemas.microsoft.com/office/drawing/2014/main" id="{32A8C4EC-B16B-4B54-B4DD-10F9C0B4C7F2}"/>
              </a:ext>
            </a:extLst>
          </xdr:cNvPr>
          <xdr:cNvSpPr/>
        </xdr:nvSpPr>
        <xdr:spPr>
          <a:xfrm>
            <a:off x="9704205" y="10481659"/>
            <a:ext cx="640080" cy="347268"/>
          </a:xfrm>
          <a:prstGeom prst="roundRect">
            <a:avLst/>
          </a:prstGeom>
          <a:pattFill prst="pct5">
            <a:fgClr>
              <a:schemeClr val="accent5">
                <a:lumMod val="50000"/>
              </a:schemeClr>
            </a:fgClr>
            <a:bgClr>
              <a:schemeClr val="bg1"/>
            </a:bgClr>
          </a:patt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CF2513D-70AB-4D4F-8146-EEE82492F19C}" type="TxLink">
              <a:rPr lang="en-US" sz="800" b="0" i="0" u="none" strike="noStrike">
                <a:solidFill>
                  <a:schemeClr val="accent6">
                    <a:lumMod val="50000"/>
                  </a:schemeClr>
                </a:solidFill>
                <a:latin typeface="Century Gothic"/>
              </a:rPr>
              <a:pPr algn="ctr"/>
              <a:t>Crisis COVID 
42 - 71.4%</a:t>
            </a:fld>
            <a:endParaRPr lang="en-US" sz="600" b="0">
              <a:solidFill>
                <a:schemeClr val="accent6">
                  <a:lumMod val="50000"/>
                </a:schemeClr>
              </a:solidFill>
            </a:endParaRPr>
          </a:p>
        </xdr:txBody>
      </xdr:sp>
      <xdr:sp macro="" textlink="Chart!G176">
        <xdr:nvSpPr>
          <xdr:cNvPr id="304" name="Rounded Rectangle 153">
            <a:extLst>
              <a:ext uri="{FF2B5EF4-FFF2-40B4-BE49-F238E27FC236}">
                <a16:creationId xmlns:a16="http://schemas.microsoft.com/office/drawing/2014/main" id="{7B0FF7DF-F887-45B4-B42B-9CA498232DC8}"/>
              </a:ext>
            </a:extLst>
          </xdr:cNvPr>
          <xdr:cNvSpPr/>
        </xdr:nvSpPr>
        <xdr:spPr>
          <a:xfrm>
            <a:off x="11815227" y="10481659"/>
            <a:ext cx="640080" cy="347268"/>
          </a:xfrm>
          <a:prstGeom prst="roundRect">
            <a:avLst/>
          </a:prstGeom>
          <a:pattFill prst="pct5">
            <a:fgClr>
              <a:schemeClr val="accent5"/>
            </a:fgClr>
            <a:bgClr>
              <a:schemeClr val="bg1"/>
            </a:bgClr>
          </a:patt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2EE3EDE-3719-4446-BAC3-E449F3152A8D}" type="TxLink">
              <a:rPr lang="en-US" sz="800" b="0" i="0" u="none" strike="noStrike">
                <a:solidFill>
                  <a:schemeClr val="accent6"/>
                </a:solidFill>
                <a:latin typeface="Century Gothic"/>
              </a:rPr>
              <a:pPr algn="ctr"/>
              <a:t>Crisis COVID 
127 - 44.1%</a:t>
            </a:fld>
            <a:endParaRPr lang="en-US" sz="600" b="0">
              <a:solidFill>
                <a:schemeClr val="accent6"/>
              </a:solidFill>
            </a:endParaRPr>
          </a:p>
        </xdr:txBody>
      </xdr:sp>
      <xdr:sp macro="" textlink="Chart!H165">
        <xdr:nvSpPr>
          <xdr:cNvPr id="344" name="Rounded Rectangle 155">
            <a:extLst>
              <a:ext uri="{FF2B5EF4-FFF2-40B4-BE49-F238E27FC236}">
                <a16:creationId xmlns:a16="http://schemas.microsoft.com/office/drawing/2014/main" id="{03BDCF46-4EC6-4A90-9F05-C17D32FAA676}"/>
              </a:ext>
            </a:extLst>
          </xdr:cNvPr>
          <xdr:cNvSpPr/>
        </xdr:nvSpPr>
        <xdr:spPr>
          <a:xfrm>
            <a:off x="13947340" y="10481659"/>
            <a:ext cx="640080" cy="347268"/>
          </a:xfrm>
          <a:prstGeom prst="roundRect">
            <a:avLst/>
          </a:prstGeom>
          <a:pattFill prst="pct5">
            <a:fgClr>
              <a:schemeClr val="accent5"/>
            </a:fgClr>
            <a:bgClr>
              <a:schemeClr val="bg1"/>
            </a:bgClr>
          </a:patt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473523A-0591-4FE7-BF90-76D95964CD98}" type="TxLink">
              <a:rPr lang="en-US" sz="800" b="0" i="0" u="none" strike="noStrike">
                <a:solidFill>
                  <a:schemeClr val="accent4">
                    <a:lumMod val="50000"/>
                  </a:schemeClr>
                </a:solidFill>
                <a:latin typeface="Century Gothic"/>
              </a:rPr>
              <a:pPr algn="ctr"/>
              <a:t>Crisis COVID 
42 - 71.4%</a:t>
            </a:fld>
            <a:endParaRPr lang="en-US" sz="600" b="0">
              <a:solidFill>
                <a:schemeClr val="accent4">
                  <a:lumMod val="50000"/>
                </a:schemeClr>
              </a:solidFill>
            </a:endParaRPr>
          </a:p>
        </xdr:txBody>
      </xdr:sp>
      <xdr:sp macro="" textlink="Chart!H176">
        <xdr:nvSpPr>
          <xdr:cNvPr id="384" name="Rounded Rectangle 157">
            <a:extLst>
              <a:ext uri="{FF2B5EF4-FFF2-40B4-BE49-F238E27FC236}">
                <a16:creationId xmlns:a16="http://schemas.microsoft.com/office/drawing/2014/main" id="{9DC6A36A-E42B-408E-9EE1-CCCFAC8DF795}"/>
              </a:ext>
            </a:extLst>
          </xdr:cNvPr>
          <xdr:cNvSpPr/>
        </xdr:nvSpPr>
        <xdr:spPr>
          <a:xfrm>
            <a:off x="16060531" y="10481659"/>
            <a:ext cx="640080" cy="347268"/>
          </a:xfrm>
          <a:prstGeom prst="roundRect">
            <a:avLst/>
          </a:prstGeom>
          <a:pattFill prst="pct5">
            <a:fgClr>
              <a:schemeClr val="accent5"/>
            </a:fgClr>
            <a:bgClr>
              <a:schemeClr val="bg1"/>
            </a:bgClr>
          </a:patt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CF5EEC5-EF53-47E8-8905-EC65A6513E3C}" type="TxLink">
              <a:rPr lang="en-US" sz="800" b="0" i="0" u="none" strike="noStrike">
                <a:solidFill>
                  <a:schemeClr val="accent4"/>
                </a:solidFill>
                <a:latin typeface="Century Gothic"/>
              </a:rPr>
              <a:pPr algn="ctr"/>
              <a:t>Crisis COVID 
127 - 61.4%</a:t>
            </a:fld>
            <a:endParaRPr lang="en-US" sz="600" b="0">
              <a:solidFill>
                <a:schemeClr val="accent4"/>
              </a:solidFill>
            </a:endParaRPr>
          </a:p>
        </xdr:txBody>
      </xdr:sp>
    </xdr:grpSp>
    <xdr:clientData/>
  </xdr:twoCellAnchor>
  <xdr:twoCellAnchor>
    <xdr:from>
      <xdr:col>0</xdr:col>
      <xdr:colOff>9525</xdr:colOff>
      <xdr:row>63</xdr:row>
      <xdr:rowOff>64863</xdr:rowOff>
    </xdr:from>
    <xdr:to>
      <xdr:col>17</xdr:col>
      <xdr:colOff>104775</xdr:colOff>
      <xdr:row>78</xdr:row>
      <xdr:rowOff>36288</xdr:rowOff>
    </xdr:to>
    <xdr:grpSp>
      <xdr:nvGrpSpPr>
        <xdr:cNvPr id="12" name="Group 11">
          <a:extLst>
            <a:ext uri="{FF2B5EF4-FFF2-40B4-BE49-F238E27FC236}">
              <a16:creationId xmlns:a16="http://schemas.microsoft.com/office/drawing/2014/main" id="{68C5AC7E-7430-41E9-A85F-DEC3FA6C14C4}"/>
            </a:ext>
          </a:extLst>
        </xdr:cNvPr>
        <xdr:cNvGrpSpPr/>
      </xdr:nvGrpSpPr>
      <xdr:grpSpPr>
        <a:xfrm>
          <a:off x="8467" y="10822821"/>
          <a:ext cx="18855266" cy="2446867"/>
          <a:chOff x="9525" y="11407551"/>
          <a:chExt cx="17597438" cy="2590800"/>
        </a:xfrm>
      </xdr:grpSpPr>
      <xdr:grpSp>
        <xdr:nvGrpSpPr>
          <xdr:cNvPr id="11" name="Group 10">
            <a:extLst>
              <a:ext uri="{FF2B5EF4-FFF2-40B4-BE49-F238E27FC236}">
                <a16:creationId xmlns:a16="http://schemas.microsoft.com/office/drawing/2014/main" id="{1F1EDE43-716C-4E99-9835-B927D038D999}"/>
              </a:ext>
            </a:extLst>
          </xdr:cNvPr>
          <xdr:cNvGrpSpPr/>
        </xdr:nvGrpSpPr>
        <xdr:grpSpPr>
          <a:xfrm>
            <a:off x="9525" y="11407551"/>
            <a:ext cx="17597438" cy="2590800"/>
            <a:chOff x="9525" y="10911457"/>
            <a:chExt cx="17537906" cy="2471737"/>
          </a:xfrm>
        </xdr:grpSpPr>
        <xdr:grpSp>
          <xdr:nvGrpSpPr>
            <xdr:cNvPr id="461" name="Group 460">
              <a:extLst>
                <a:ext uri="{FF2B5EF4-FFF2-40B4-BE49-F238E27FC236}">
                  <a16:creationId xmlns:a16="http://schemas.microsoft.com/office/drawing/2014/main" id="{B89E3861-4110-440B-9449-E734B48B2BF7}"/>
                </a:ext>
              </a:extLst>
            </xdr:cNvPr>
            <xdr:cNvGrpSpPr/>
          </xdr:nvGrpSpPr>
          <xdr:grpSpPr>
            <a:xfrm>
              <a:off x="9525" y="10911457"/>
              <a:ext cx="17537906" cy="2471737"/>
              <a:chOff x="9525" y="1390650"/>
              <a:chExt cx="17573625" cy="2543175"/>
            </a:xfrm>
          </xdr:grpSpPr>
          <xdr:sp macro="" textlink="">
            <xdr:nvSpPr>
              <xdr:cNvPr id="462" name="Rectangle: Rounded Corners 461">
                <a:extLst>
                  <a:ext uri="{FF2B5EF4-FFF2-40B4-BE49-F238E27FC236}">
                    <a16:creationId xmlns:a16="http://schemas.microsoft.com/office/drawing/2014/main" id="{6678B918-56D5-4E44-92AD-9D764FFCD9FC}"/>
                  </a:ext>
                </a:extLst>
              </xdr:cNvPr>
              <xdr:cNvSpPr/>
            </xdr:nvSpPr>
            <xdr:spPr>
              <a:xfrm>
                <a:off x="9525" y="1390650"/>
                <a:ext cx="17573625" cy="1866900"/>
              </a:xfrm>
              <a:prstGeom prst="roundRect">
                <a:avLst/>
              </a:prstGeom>
              <a:solidFill>
                <a:schemeClr val="bg1"/>
              </a:solidFill>
              <a:ln w="28575">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63" name="Group 462">
                <a:extLst>
                  <a:ext uri="{FF2B5EF4-FFF2-40B4-BE49-F238E27FC236}">
                    <a16:creationId xmlns:a16="http://schemas.microsoft.com/office/drawing/2014/main" id="{96F1DA9D-CA63-4833-ACCD-233D1588071D}"/>
                  </a:ext>
                </a:extLst>
              </xdr:cNvPr>
              <xdr:cNvGrpSpPr/>
            </xdr:nvGrpSpPr>
            <xdr:grpSpPr>
              <a:xfrm>
                <a:off x="542925" y="1438275"/>
                <a:ext cx="16906875" cy="2495550"/>
                <a:chOff x="542925" y="1362075"/>
                <a:chExt cx="16906875" cy="2554605"/>
              </a:xfrm>
            </xdr:grpSpPr>
            <xdr:graphicFrame macro="">
              <xdr:nvGraphicFramePr>
                <xdr:cNvPr id="465" name="Chart 464">
                  <a:extLst>
                    <a:ext uri="{FF2B5EF4-FFF2-40B4-BE49-F238E27FC236}">
                      <a16:creationId xmlns:a16="http://schemas.microsoft.com/office/drawing/2014/main" id="{AC329126-8B64-421D-B293-6995D9B6F4C7}"/>
                    </a:ext>
                  </a:extLst>
                </xdr:cNvPr>
                <xdr:cNvGraphicFramePr>
                  <a:graphicFrameLocks/>
                </xdr:cNvGraphicFramePr>
              </xdr:nvGraphicFramePr>
              <xdr:xfrm>
                <a:off x="542925" y="1447800"/>
                <a:ext cx="2046846" cy="2468880"/>
              </xdr:xfrm>
              <a:graphic>
                <a:graphicData uri="http://schemas.openxmlformats.org/drawingml/2006/chart">
                  <c:chart xmlns:c="http://schemas.openxmlformats.org/drawingml/2006/chart" xmlns:r="http://schemas.openxmlformats.org/officeDocument/2006/relationships" r:id="rId38"/>
                </a:graphicData>
              </a:graphic>
            </xdr:graphicFrame>
            <xdr:graphicFrame macro="">
              <xdr:nvGraphicFramePr>
                <xdr:cNvPr id="466" name="Chart 465">
                  <a:extLst>
                    <a:ext uri="{FF2B5EF4-FFF2-40B4-BE49-F238E27FC236}">
                      <a16:creationId xmlns:a16="http://schemas.microsoft.com/office/drawing/2014/main" id="{C2EF530C-8ACC-4F43-895F-5344A6EE8F60}"/>
                    </a:ext>
                  </a:extLst>
                </xdr:cNvPr>
                <xdr:cNvGraphicFramePr>
                  <a:graphicFrameLocks/>
                </xdr:cNvGraphicFramePr>
              </xdr:nvGraphicFramePr>
              <xdr:xfrm>
                <a:off x="2665786" y="1447800"/>
                <a:ext cx="2046846" cy="2468880"/>
              </xdr:xfrm>
              <a:graphic>
                <a:graphicData uri="http://schemas.openxmlformats.org/drawingml/2006/chart">
                  <c:chart xmlns:c="http://schemas.openxmlformats.org/drawingml/2006/chart" xmlns:r="http://schemas.openxmlformats.org/officeDocument/2006/relationships" r:id="rId39"/>
                </a:graphicData>
              </a:graphic>
            </xdr:graphicFrame>
            <xdr:graphicFrame macro="">
              <xdr:nvGraphicFramePr>
                <xdr:cNvPr id="467" name="Chart 466">
                  <a:extLst>
                    <a:ext uri="{FF2B5EF4-FFF2-40B4-BE49-F238E27FC236}">
                      <a16:creationId xmlns:a16="http://schemas.microsoft.com/office/drawing/2014/main" id="{393C4DBC-4428-46DA-AB86-3ED446E8BE52}"/>
                    </a:ext>
                  </a:extLst>
                </xdr:cNvPr>
                <xdr:cNvGraphicFramePr>
                  <a:graphicFrameLocks/>
                </xdr:cNvGraphicFramePr>
              </xdr:nvGraphicFramePr>
              <xdr:xfrm>
                <a:off x="4788648" y="1447800"/>
                <a:ext cx="2046846" cy="2468880"/>
              </xdr:xfrm>
              <a:graphic>
                <a:graphicData uri="http://schemas.openxmlformats.org/drawingml/2006/chart">
                  <c:chart xmlns:c="http://schemas.openxmlformats.org/drawingml/2006/chart" xmlns:r="http://schemas.openxmlformats.org/officeDocument/2006/relationships" r:id="rId40"/>
                </a:graphicData>
              </a:graphic>
            </xdr:graphicFrame>
            <xdr:graphicFrame macro="">
              <xdr:nvGraphicFramePr>
                <xdr:cNvPr id="468" name="Chart 467">
                  <a:extLst>
                    <a:ext uri="{FF2B5EF4-FFF2-40B4-BE49-F238E27FC236}">
                      <a16:creationId xmlns:a16="http://schemas.microsoft.com/office/drawing/2014/main" id="{C83B9662-ED9A-473F-8E8B-53F85A46D5AB}"/>
                    </a:ext>
                  </a:extLst>
                </xdr:cNvPr>
                <xdr:cNvGraphicFramePr>
                  <a:graphicFrameLocks/>
                </xdr:cNvGraphicFramePr>
              </xdr:nvGraphicFramePr>
              <xdr:xfrm>
                <a:off x="6911509" y="1447800"/>
                <a:ext cx="2046846" cy="2468880"/>
              </xdr:xfrm>
              <a:graphic>
                <a:graphicData uri="http://schemas.openxmlformats.org/drawingml/2006/chart">
                  <c:chart xmlns:c="http://schemas.openxmlformats.org/drawingml/2006/chart" xmlns:r="http://schemas.openxmlformats.org/officeDocument/2006/relationships" r:id="rId41"/>
                </a:graphicData>
              </a:graphic>
            </xdr:graphicFrame>
            <xdr:graphicFrame macro="">
              <xdr:nvGraphicFramePr>
                <xdr:cNvPr id="469" name="Chart 468">
                  <a:extLst>
                    <a:ext uri="{FF2B5EF4-FFF2-40B4-BE49-F238E27FC236}">
                      <a16:creationId xmlns:a16="http://schemas.microsoft.com/office/drawing/2014/main" id="{079E647F-EF4A-44EE-AD7A-7313B32952DC}"/>
                    </a:ext>
                  </a:extLst>
                </xdr:cNvPr>
                <xdr:cNvGraphicFramePr>
                  <a:graphicFrameLocks/>
                </xdr:cNvGraphicFramePr>
              </xdr:nvGraphicFramePr>
              <xdr:xfrm>
                <a:off x="9034370" y="1447800"/>
                <a:ext cx="2046846" cy="2468880"/>
              </xdr:xfrm>
              <a:graphic>
                <a:graphicData uri="http://schemas.openxmlformats.org/drawingml/2006/chart">
                  <c:chart xmlns:c="http://schemas.openxmlformats.org/drawingml/2006/chart" xmlns:r="http://schemas.openxmlformats.org/officeDocument/2006/relationships" r:id="rId42"/>
                </a:graphicData>
              </a:graphic>
            </xdr:graphicFrame>
            <xdr:graphicFrame macro="">
              <xdr:nvGraphicFramePr>
                <xdr:cNvPr id="470" name="Chart 469">
                  <a:extLst>
                    <a:ext uri="{FF2B5EF4-FFF2-40B4-BE49-F238E27FC236}">
                      <a16:creationId xmlns:a16="http://schemas.microsoft.com/office/drawing/2014/main" id="{BDD16FFC-9023-43B0-845B-09625D9AB72B}"/>
                    </a:ext>
                  </a:extLst>
                </xdr:cNvPr>
                <xdr:cNvGraphicFramePr>
                  <a:graphicFrameLocks/>
                </xdr:cNvGraphicFramePr>
              </xdr:nvGraphicFramePr>
              <xdr:xfrm>
                <a:off x="11157231" y="1447800"/>
                <a:ext cx="2046846" cy="2468880"/>
              </xdr:xfrm>
              <a:graphic>
                <a:graphicData uri="http://schemas.openxmlformats.org/drawingml/2006/chart">
                  <c:chart xmlns:c="http://schemas.openxmlformats.org/drawingml/2006/chart" xmlns:r="http://schemas.openxmlformats.org/officeDocument/2006/relationships" r:id="rId43"/>
                </a:graphicData>
              </a:graphic>
            </xdr:graphicFrame>
            <xdr:graphicFrame macro="">
              <xdr:nvGraphicFramePr>
                <xdr:cNvPr id="471" name="Chart 470">
                  <a:extLst>
                    <a:ext uri="{FF2B5EF4-FFF2-40B4-BE49-F238E27FC236}">
                      <a16:creationId xmlns:a16="http://schemas.microsoft.com/office/drawing/2014/main" id="{3B13DF24-BE8C-420E-B5F2-4EC8CA23D264}"/>
                    </a:ext>
                  </a:extLst>
                </xdr:cNvPr>
                <xdr:cNvGraphicFramePr>
                  <a:graphicFrameLocks/>
                </xdr:cNvGraphicFramePr>
              </xdr:nvGraphicFramePr>
              <xdr:xfrm>
                <a:off x="13280093" y="1447800"/>
                <a:ext cx="2046846" cy="2468880"/>
              </xdr:xfrm>
              <a:graphic>
                <a:graphicData uri="http://schemas.openxmlformats.org/drawingml/2006/chart">
                  <c:chart xmlns:c="http://schemas.openxmlformats.org/drawingml/2006/chart" xmlns:r="http://schemas.openxmlformats.org/officeDocument/2006/relationships" r:id="rId44"/>
                </a:graphicData>
              </a:graphic>
            </xdr:graphicFrame>
            <xdr:graphicFrame macro="">
              <xdr:nvGraphicFramePr>
                <xdr:cNvPr id="472" name="Chart 471">
                  <a:extLst>
                    <a:ext uri="{FF2B5EF4-FFF2-40B4-BE49-F238E27FC236}">
                      <a16:creationId xmlns:a16="http://schemas.microsoft.com/office/drawing/2014/main" id="{D77FBC4C-6F19-4424-B3D8-21344EE963A3}"/>
                    </a:ext>
                  </a:extLst>
                </xdr:cNvPr>
                <xdr:cNvGraphicFramePr>
                  <a:graphicFrameLocks/>
                </xdr:cNvGraphicFramePr>
              </xdr:nvGraphicFramePr>
              <xdr:xfrm>
                <a:off x="15402954" y="1447800"/>
                <a:ext cx="2046846" cy="2468880"/>
              </xdr:xfrm>
              <a:graphic>
                <a:graphicData uri="http://schemas.openxmlformats.org/drawingml/2006/chart">
                  <c:chart xmlns:c="http://schemas.openxmlformats.org/drawingml/2006/chart" xmlns:r="http://schemas.openxmlformats.org/officeDocument/2006/relationships" r:id="rId45"/>
                </a:graphicData>
              </a:graphic>
            </xdr:graphicFrame>
            <xdr:sp macro="" textlink="Chart!E186">
              <xdr:nvSpPr>
                <xdr:cNvPr id="473" name="Rounded Rectangle 140">
                  <a:extLst>
                    <a:ext uri="{FF2B5EF4-FFF2-40B4-BE49-F238E27FC236}">
                      <a16:creationId xmlns:a16="http://schemas.microsoft.com/office/drawing/2014/main" id="{225BF6B8-2C67-4D87-9026-7C1A39B0E526}"/>
                    </a:ext>
                  </a:extLst>
                </xdr:cNvPr>
                <xdr:cNvSpPr/>
              </xdr:nvSpPr>
              <xdr:spPr>
                <a:xfrm>
                  <a:off x="1210375" y="1362075"/>
                  <a:ext cx="711946" cy="22860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1F0B109-83DB-405F-AFFF-41C828E647ED}" type="TxLink">
                    <a:rPr lang="en-US" sz="1400" b="1" i="0" u="none" strike="noStrike">
                      <a:solidFill>
                        <a:schemeClr val="bg1">
                          <a:lumMod val="100000"/>
                        </a:schemeClr>
                      </a:solidFill>
                      <a:latin typeface="Century Gothic"/>
                    </a:rPr>
                    <a:pPr algn="ctr"/>
                    <a:t>12</a:t>
                  </a:fld>
                  <a:endParaRPr lang="en-US" sz="1400" b="1">
                    <a:solidFill>
                      <a:schemeClr val="bg1">
                        <a:lumMod val="100000"/>
                      </a:schemeClr>
                    </a:solidFill>
                  </a:endParaRPr>
                </a:p>
              </xdr:txBody>
            </xdr:sp>
            <xdr:sp macro="" textlink="Chart!E197">
              <xdr:nvSpPr>
                <xdr:cNvPr id="474" name="Rounded Rectangle 141">
                  <a:extLst>
                    <a:ext uri="{FF2B5EF4-FFF2-40B4-BE49-F238E27FC236}">
                      <a16:creationId xmlns:a16="http://schemas.microsoft.com/office/drawing/2014/main" id="{EF2F1666-C1D0-4137-8F7E-1495B5A8E3E5}"/>
                    </a:ext>
                  </a:extLst>
                </xdr:cNvPr>
                <xdr:cNvSpPr/>
              </xdr:nvSpPr>
              <xdr:spPr>
                <a:xfrm>
                  <a:off x="3333236" y="1362075"/>
                  <a:ext cx="711946" cy="2286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2E13CA9-B1A9-424F-B096-CCD4CE8735B6}" type="TxLink">
                    <a:rPr lang="en-US" sz="1400" b="1" i="0" u="none" strike="noStrike">
                      <a:solidFill>
                        <a:schemeClr val="bg1">
                          <a:lumMod val="100000"/>
                        </a:schemeClr>
                      </a:solidFill>
                      <a:latin typeface="Century Gothic"/>
                    </a:rPr>
                    <a:pPr algn="ctr"/>
                    <a:t>30</a:t>
                  </a:fld>
                  <a:endParaRPr lang="en-US" sz="1400" b="1">
                    <a:solidFill>
                      <a:schemeClr val="bg1">
                        <a:lumMod val="100000"/>
                      </a:schemeClr>
                    </a:solidFill>
                  </a:endParaRPr>
                </a:p>
              </xdr:txBody>
            </xdr:sp>
            <xdr:sp macro="" textlink="Chart!E187">
              <xdr:nvSpPr>
                <xdr:cNvPr id="475" name="Rounded Rectangle 142">
                  <a:extLst>
                    <a:ext uri="{FF2B5EF4-FFF2-40B4-BE49-F238E27FC236}">
                      <a16:creationId xmlns:a16="http://schemas.microsoft.com/office/drawing/2014/main" id="{8744322A-1269-4335-946F-3118B694624C}"/>
                    </a:ext>
                  </a:extLst>
                </xdr:cNvPr>
                <xdr:cNvSpPr/>
              </xdr:nvSpPr>
              <xdr:spPr>
                <a:xfrm>
                  <a:off x="544268" y="2771775"/>
                  <a:ext cx="641384" cy="36576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169CDE8-D058-45B2-B858-EC073B98E2B5}" type="TxLink">
                    <a:rPr lang="en-US" sz="800" b="0" i="0" u="none" strike="noStrike">
                      <a:solidFill>
                        <a:schemeClr val="bg1">
                          <a:lumMod val="100000"/>
                        </a:schemeClr>
                      </a:solidFill>
                      <a:latin typeface="Century Gothic"/>
                    </a:rPr>
                    <a:pPr algn="ctr"/>
                    <a:t>Max COVID 
24 - 50.0%</a:t>
                  </a:fld>
                  <a:endParaRPr lang="en-US" sz="800" b="0">
                    <a:solidFill>
                      <a:schemeClr val="bg1">
                        <a:lumMod val="100000"/>
                      </a:schemeClr>
                    </a:solidFill>
                  </a:endParaRPr>
                </a:p>
              </xdr:txBody>
            </xdr:sp>
            <xdr:sp macro="" textlink="Chart!E189">
              <xdr:nvSpPr>
                <xdr:cNvPr id="476" name="Rounded Rectangle 143">
                  <a:extLst>
                    <a:ext uri="{FF2B5EF4-FFF2-40B4-BE49-F238E27FC236}">
                      <a16:creationId xmlns:a16="http://schemas.microsoft.com/office/drawing/2014/main" id="{0C846C38-5858-461C-91F4-1F5ACC2AA530}"/>
                    </a:ext>
                  </a:extLst>
                </xdr:cNvPr>
                <xdr:cNvSpPr/>
              </xdr:nvSpPr>
              <xdr:spPr>
                <a:xfrm>
                  <a:off x="1913432" y="2771775"/>
                  <a:ext cx="659709"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081F1D3-AF0B-423E-8AA6-F09C0A49F154}" type="TxLink">
                    <a:rPr lang="en-US" sz="800" b="0" i="0" u="none" strike="noStrike">
                      <a:solidFill>
                        <a:schemeClr val="accent1">
                          <a:lumMod val="50000"/>
                        </a:schemeClr>
                      </a:solidFill>
                      <a:latin typeface="Century Gothic"/>
                    </a:rPr>
                    <a:pPr algn="ctr"/>
                    <a:t>All Beds
24 - 50.0%</a:t>
                  </a:fld>
                  <a:endParaRPr lang="en-US" sz="700" b="0">
                    <a:solidFill>
                      <a:schemeClr val="accent1">
                        <a:lumMod val="50000"/>
                      </a:schemeClr>
                    </a:solidFill>
                  </a:endParaRPr>
                </a:p>
              </xdr:txBody>
            </xdr:sp>
            <xdr:sp macro="" textlink="Chart!E198">
              <xdr:nvSpPr>
                <xdr:cNvPr id="477" name="Rounded Rectangle 144">
                  <a:extLst>
                    <a:ext uri="{FF2B5EF4-FFF2-40B4-BE49-F238E27FC236}">
                      <a16:creationId xmlns:a16="http://schemas.microsoft.com/office/drawing/2014/main" id="{CED4D9B2-9F4B-4BC4-BAF1-4727D3D94D49}"/>
                    </a:ext>
                  </a:extLst>
                </xdr:cNvPr>
                <xdr:cNvSpPr/>
              </xdr:nvSpPr>
              <xdr:spPr>
                <a:xfrm>
                  <a:off x="2676400" y="2771775"/>
                  <a:ext cx="641384" cy="36576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D3DF73A-C5DE-43CF-8641-3C2138EE5FA5}" type="TxLink">
                    <a:rPr lang="en-US" sz="800" b="0" i="0" u="none" strike="noStrike">
                      <a:solidFill>
                        <a:schemeClr val="bg1">
                          <a:lumMod val="100000"/>
                        </a:schemeClr>
                      </a:solidFill>
                      <a:latin typeface="Century Gothic"/>
                    </a:rPr>
                    <a:pPr algn="ctr"/>
                    <a:t>Max COVID 
104 - 28.8%</a:t>
                  </a:fld>
                  <a:endParaRPr lang="en-US" sz="800" b="0">
                    <a:solidFill>
                      <a:schemeClr val="bg1">
                        <a:lumMod val="100000"/>
                      </a:schemeClr>
                    </a:solidFill>
                  </a:endParaRPr>
                </a:p>
              </xdr:txBody>
            </xdr:sp>
            <xdr:sp macro="" textlink="Chart!E200">
              <xdr:nvSpPr>
                <xdr:cNvPr id="478" name="Rounded Rectangle 145">
                  <a:extLst>
                    <a:ext uri="{FF2B5EF4-FFF2-40B4-BE49-F238E27FC236}">
                      <a16:creationId xmlns:a16="http://schemas.microsoft.com/office/drawing/2014/main" id="{69E1F57E-5EE6-481B-95AE-1C3A08CDF68C}"/>
                    </a:ext>
                  </a:extLst>
                </xdr:cNvPr>
                <xdr:cNvSpPr/>
              </xdr:nvSpPr>
              <xdr:spPr>
                <a:xfrm>
                  <a:off x="4045564" y="2771775"/>
                  <a:ext cx="659709"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744933B-A91B-43E1-92B0-8E8AAACF480A}" type="TxLink">
                    <a:rPr lang="en-US" sz="800" b="0" i="0" u="none" strike="noStrike">
                      <a:solidFill>
                        <a:schemeClr val="accent1"/>
                      </a:solidFill>
                      <a:latin typeface="Century Gothic"/>
                    </a:rPr>
                    <a:pPr algn="ctr"/>
                    <a:t>All Beds
275 - 10.9%</a:t>
                  </a:fld>
                  <a:endParaRPr lang="en-US" sz="500" b="0">
                    <a:solidFill>
                      <a:schemeClr val="accent1"/>
                    </a:solidFill>
                  </a:endParaRPr>
                </a:p>
              </xdr:txBody>
            </xdr:sp>
            <xdr:sp macro="" textlink="Chart!E201">
              <xdr:nvSpPr>
                <xdr:cNvPr id="479" name="Rounded Rectangle 146">
                  <a:extLst>
                    <a:ext uri="{FF2B5EF4-FFF2-40B4-BE49-F238E27FC236}">
                      <a16:creationId xmlns:a16="http://schemas.microsoft.com/office/drawing/2014/main" id="{8E200965-FAA7-4DCE-8CF9-180C3BC59A00}"/>
                    </a:ext>
                  </a:extLst>
                </xdr:cNvPr>
                <xdr:cNvSpPr/>
              </xdr:nvSpPr>
              <xdr:spPr>
                <a:xfrm>
                  <a:off x="2130070" y="1362075"/>
                  <a:ext cx="960120" cy="459205"/>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F25382A-9613-4B9B-9DCF-555E829E0F69}" type="TxLink">
                    <a:rPr lang="en-US" sz="1200" b="1" i="0" u="none" strike="noStrike">
                      <a:solidFill>
                        <a:schemeClr val="bg1"/>
                      </a:solidFill>
                      <a:latin typeface="Century Gothic"/>
                    </a:rPr>
                    <a:pPr algn="ctr"/>
                    <a:t>Total COVID
42</a:t>
                  </a:fld>
                  <a:endParaRPr lang="en-US" sz="1200" b="1">
                    <a:solidFill>
                      <a:schemeClr val="bg1"/>
                    </a:solidFill>
                  </a:endParaRPr>
                </a:p>
              </xdr:txBody>
            </xdr:sp>
            <xdr:sp macro="" textlink="Chart!F187">
              <xdr:nvSpPr>
                <xdr:cNvPr id="480" name="Rounded Rectangle 147">
                  <a:extLst>
                    <a:ext uri="{FF2B5EF4-FFF2-40B4-BE49-F238E27FC236}">
                      <a16:creationId xmlns:a16="http://schemas.microsoft.com/office/drawing/2014/main" id="{0ECAA22E-795B-4A43-990F-063FA32335E3}"/>
                    </a:ext>
                  </a:extLst>
                </xdr:cNvPr>
                <xdr:cNvSpPr/>
              </xdr:nvSpPr>
              <xdr:spPr>
                <a:xfrm>
                  <a:off x="4797918" y="2771775"/>
                  <a:ext cx="641384" cy="36576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832239F-C00C-47FD-8A16-2609A98423F7}" type="TxLink">
                    <a:rPr lang="en-US" sz="800" b="0" i="0" u="none" strike="noStrike">
                      <a:solidFill>
                        <a:schemeClr val="bg1">
                          <a:lumMod val="100000"/>
                        </a:schemeClr>
                      </a:solidFill>
                      <a:latin typeface="Century Gothic"/>
                    </a:rPr>
                    <a:pPr algn="ctr"/>
                    <a:t>Max COVID 
24 - 50.0%</a:t>
                  </a:fld>
                  <a:endParaRPr lang="en-US" sz="800" b="0">
                    <a:solidFill>
                      <a:schemeClr val="bg1">
                        <a:lumMod val="100000"/>
                      </a:schemeClr>
                    </a:solidFill>
                  </a:endParaRPr>
                </a:p>
              </xdr:txBody>
            </xdr:sp>
            <xdr:sp macro="" textlink="Chart!F189">
              <xdr:nvSpPr>
                <xdr:cNvPr id="481" name="Rounded Rectangle 148">
                  <a:extLst>
                    <a:ext uri="{FF2B5EF4-FFF2-40B4-BE49-F238E27FC236}">
                      <a16:creationId xmlns:a16="http://schemas.microsoft.com/office/drawing/2014/main" id="{6263E441-C39C-47AE-8303-843DF58D8752}"/>
                    </a:ext>
                  </a:extLst>
                </xdr:cNvPr>
                <xdr:cNvSpPr/>
              </xdr:nvSpPr>
              <xdr:spPr>
                <a:xfrm>
                  <a:off x="6167687" y="2771775"/>
                  <a:ext cx="659709" cy="365760"/>
                </a:xfrm>
                <a:prstGeom prst="roundRect">
                  <a:avLst/>
                </a:prstGeom>
                <a:solidFill>
                  <a:schemeClr val="bg1"/>
                </a:solidFill>
                <a:ln w="19050">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8C7C9D7-A26C-4291-8D58-0331A88E7B2D}" type="TxLink">
                    <a:rPr lang="en-US" sz="800" b="0" i="0" u="none" strike="noStrike">
                      <a:solidFill>
                        <a:schemeClr val="accent5">
                          <a:lumMod val="50000"/>
                        </a:schemeClr>
                      </a:solidFill>
                      <a:latin typeface="Century Gothic"/>
                    </a:rPr>
                    <a:pPr algn="ctr"/>
                    <a:t>All Beds
24 - 50.0%</a:t>
                  </a:fld>
                  <a:endParaRPr lang="en-US" sz="300" b="0">
                    <a:solidFill>
                      <a:schemeClr val="accent5">
                        <a:lumMod val="50000"/>
                      </a:schemeClr>
                    </a:solidFill>
                  </a:endParaRPr>
                </a:p>
              </xdr:txBody>
            </xdr:sp>
            <xdr:sp macro="" textlink="Chart!F198">
              <xdr:nvSpPr>
                <xdr:cNvPr id="482" name="Rounded Rectangle 149">
                  <a:extLst>
                    <a:ext uri="{FF2B5EF4-FFF2-40B4-BE49-F238E27FC236}">
                      <a16:creationId xmlns:a16="http://schemas.microsoft.com/office/drawing/2014/main" id="{221460E0-8479-4354-89E7-B5D84056B344}"/>
                    </a:ext>
                  </a:extLst>
                </xdr:cNvPr>
                <xdr:cNvSpPr/>
              </xdr:nvSpPr>
              <xdr:spPr>
                <a:xfrm>
                  <a:off x="6922122" y="2771775"/>
                  <a:ext cx="641384" cy="36576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F876286-F991-4FD0-961E-3E4F340C4559}" type="TxLink">
                    <a:rPr lang="en-US" sz="800" b="0" i="0" u="none" strike="noStrike">
                      <a:solidFill>
                        <a:schemeClr val="bg1">
                          <a:lumMod val="100000"/>
                        </a:schemeClr>
                      </a:solidFill>
                      <a:latin typeface="Century Gothic"/>
                    </a:rPr>
                    <a:pPr algn="ctr"/>
                    <a:t>Max COVID 
104 - 51.9%</a:t>
                  </a:fld>
                  <a:endParaRPr lang="en-US" sz="800" b="0">
                    <a:solidFill>
                      <a:schemeClr val="bg1">
                        <a:lumMod val="100000"/>
                      </a:schemeClr>
                    </a:solidFill>
                  </a:endParaRPr>
                </a:p>
              </xdr:txBody>
            </xdr:sp>
            <xdr:sp macro="" textlink="Chart!F200">
              <xdr:nvSpPr>
                <xdr:cNvPr id="483" name="Rounded Rectangle 150">
                  <a:extLst>
                    <a:ext uri="{FF2B5EF4-FFF2-40B4-BE49-F238E27FC236}">
                      <a16:creationId xmlns:a16="http://schemas.microsoft.com/office/drawing/2014/main" id="{409E00FB-D6BC-46F7-89DE-408BB63773A6}"/>
                    </a:ext>
                  </a:extLst>
                </xdr:cNvPr>
                <xdr:cNvSpPr/>
              </xdr:nvSpPr>
              <xdr:spPr>
                <a:xfrm>
                  <a:off x="8291286" y="2771775"/>
                  <a:ext cx="659709" cy="365760"/>
                </a:xfrm>
                <a:prstGeom prst="roundRect">
                  <a:avLst/>
                </a:prstGeom>
                <a:solidFill>
                  <a:schemeClr val="bg1"/>
                </a:solidFill>
                <a:ln w="19050">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F207D19-4CC1-4657-8DCD-BEBB252A8CF3}" type="TxLink">
                    <a:rPr lang="en-US" sz="800" b="0" i="0" u="none" strike="noStrike">
                      <a:solidFill>
                        <a:schemeClr val="accent5"/>
                      </a:solidFill>
                      <a:latin typeface="Century Gothic"/>
                    </a:rPr>
                    <a:pPr algn="ctr"/>
                    <a:t>All Beds
275 - 19.6%</a:t>
                  </a:fld>
                  <a:endParaRPr lang="en-US" sz="100" b="0">
                    <a:solidFill>
                      <a:schemeClr val="accent5"/>
                    </a:solidFill>
                  </a:endParaRPr>
                </a:p>
              </xdr:txBody>
            </xdr:sp>
            <xdr:sp macro="" textlink="Chart!G187">
              <xdr:nvSpPr>
                <xdr:cNvPr id="484" name="Rounded Rectangle 151">
                  <a:extLst>
                    <a:ext uri="{FF2B5EF4-FFF2-40B4-BE49-F238E27FC236}">
                      <a16:creationId xmlns:a16="http://schemas.microsoft.com/office/drawing/2014/main" id="{040CC5C0-73D3-4821-B0A8-C81EA2F08484}"/>
                    </a:ext>
                  </a:extLst>
                </xdr:cNvPr>
                <xdr:cNvSpPr/>
              </xdr:nvSpPr>
              <xdr:spPr>
                <a:xfrm>
                  <a:off x="9034370" y="2771775"/>
                  <a:ext cx="641384" cy="36576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E8E1A89-BF81-4AD5-B830-4A9147FCA644}" type="TxLink">
                    <a:rPr lang="en-US" sz="800" b="0" i="0" u="none" strike="noStrike">
                      <a:solidFill>
                        <a:schemeClr val="bg1">
                          <a:lumMod val="100000"/>
                        </a:schemeClr>
                      </a:solidFill>
                      <a:latin typeface="Century Gothic"/>
                    </a:rPr>
                    <a:pPr algn="ctr"/>
                    <a:t>Max COVID 
24 - 50.0%</a:t>
                  </a:fld>
                  <a:endParaRPr lang="en-US" sz="800" b="0">
                    <a:solidFill>
                      <a:schemeClr val="bg1">
                        <a:lumMod val="100000"/>
                      </a:schemeClr>
                    </a:solidFill>
                  </a:endParaRPr>
                </a:p>
              </xdr:txBody>
            </xdr:sp>
            <xdr:sp macro="" textlink="Chart!G189">
              <xdr:nvSpPr>
                <xdr:cNvPr id="485" name="Rounded Rectangle 152">
                  <a:extLst>
                    <a:ext uri="{FF2B5EF4-FFF2-40B4-BE49-F238E27FC236}">
                      <a16:creationId xmlns:a16="http://schemas.microsoft.com/office/drawing/2014/main" id="{DC7852E1-D1FA-411C-9CF8-F03DEED0049C}"/>
                    </a:ext>
                  </a:extLst>
                </xdr:cNvPr>
                <xdr:cNvSpPr/>
              </xdr:nvSpPr>
              <xdr:spPr>
                <a:xfrm>
                  <a:off x="10429147" y="2771775"/>
                  <a:ext cx="659709" cy="365760"/>
                </a:xfrm>
                <a:prstGeom prst="roundRect">
                  <a:avLst/>
                </a:prstGeom>
                <a:solidFill>
                  <a:schemeClr val="bg1"/>
                </a:solidFill>
                <a:ln w="1905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DEE4255-137D-4096-92E3-098FFA652981}" type="TxLink">
                    <a:rPr lang="en-US" sz="800" b="0" i="0" u="none" strike="noStrike">
                      <a:solidFill>
                        <a:schemeClr val="accent6">
                          <a:lumMod val="75000"/>
                        </a:schemeClr>
                      </a:solidFill>
                      <a:latin typeface="Century Gothic"/>
                    </a:rPr>
                    <a:pPr algn="ctr"/>
                    <a:t>All Beds
24 - 50.0%</a:t>
                  </a:fld>
                  <a:endParaRPr lang="en-US" sz="300" b="0">
                    <a:solidFill>
                      <a:schemeClr val="accent6">
                        <a:lumMod val="75000"/>
                      </a:schemeClr>
                    </a:solidFill>
                  </a:endParaRPr>
                </a:p>
              </xdr:txBody>
            </xdr:sp>
            <xdr:sp macro="" textlink="Chart!G198">
              <xdr:nvSpPr>
                <xdr:cNvPr id="486" name="Rounded Rectangle 153">
                  <a:extLst>
                    <a:ext uri="{FF2B5EF4-FFF2-40B4-BE49-F238E27FC236}">
                      <a16:creationId xmlns:a16="http://schemas.microsoft.com/office/drawing/2014/main" id="{8BE9716D-B320-490D-9089-4200C98DE5A2}"/>
                    </a:ext>
                  </a:extLst>
                </xdr:cNvPr>
                <xdr:cNvSpPr/>
              </xdr:nvSpPr>
              <xdr:spPr>
                <a:xfrm>
                  <a:off x="11166501" y="2771775"/>
                  <a:ext cx="641384" cy="36576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2314F98-499C-4B30-9096-95E56A2FAEEE}" type="TxLink">
                    <a:rPr lang="en-US" sz="800" b="0" i="0" u="none" strike="noStrike">
                      <a:solidFill>
                        <a:schemeClr val="bg1">
                          <a:lumMod val="100000"/>
                        </a:schemeClr>
                      </a:solidFill>
                      <a:latin typeface="Century Gothic"/>
                    </a:rPr>
                    <a:pPr algn="ctr"/>
                    <a:t>Max COVID 
104 - 51.9%</a:t>
                  </a:fld>
                  <a:endParaRPr lang="en-US" sz="800" b="0">
                    <a:solidFill>
                      <a:schemeClr val="bg1">
                        <a:lumMod val="100000"/>
                      </a:schemeClr>
                    </a:solidFill>
                  </a:endParaRPr>
                </a:p>
              </xdr:txBody>
            </xdr:sp>
            <xdr:sp macro="" textlink="Chart!G200">
              <xdr:nvSpPr>
                <xdr:cNvPr id="487" name="Rounded Rectangle 154">
                  <a:extLst>
                    <a:ext uri="{FF2B5EF4-FFF2-40B4-BE49-F238E27FC236}">
                      <a16:creationId xmlns:a16="http://schemas.microsoft.com/office/drawing/2014/main" id="{E7FFFE2B-60E8-48B9-8CCF-C54CFC506935}"/>
                    </a:ext>
                  </a:extLst>
                </xdr:cNvPr>
                <xdr:cNvSpPr/>
              </xdr:nvSpPr>
              <xdr:spPr>
                <a:xfrm>
                  <a:off x="12535666" y="2771775"/>
                  <a:ext cx="659709" cy="365760"/>
                </a:xfrm>
                <a:prstGeom prst="roundRect">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3BA10A5-3C6A-47D5-8C23-21230CFAF9D0}" type="TxLink">
                    <a:rPr lang="en-US" sz="800" b="0" i="0" u="none" strike="noStrike">
                      <a:solidFill>
                        <a:schemeClr val="accent6"/>
                      </a:solidFill>
                      <a:latin typeface="Century Gothic"/>
                    </a:rPr>
                    <a:pPr algn="ctr"/>
                    <a:t>All Beds
275 - 19.6%</a:t>
                  </a:fld>
                  <a:endParaRPr lang="en-US" sz="100" b="0">
                    <a:solidFill>
                      <a:schemeClr val="accent6"/>
                    </a:solidFill>
                  </a:endParaRPr>
                </a:p>
              </xdr:txBody>
            </xdr:sp>
            <xdr:sp macro="" textlink="Chart!H187">
              <xdr:nvSpPr>
                <xdr:cNvPr id="488" name="Rounded Rectangle 155">
                  <a:extLst>
                    <a:ext uri="{FF2B5EF4-FFF2-40B4-BE49-F238E27FC236}">
                      <a16:creationId xmlns:a16="http://schemas.microsoft.com/office/drawing/2014/main" id="{F472CB1B-4B5C-4F94-8ABF-5EDF9FA725A5}"/>
                    </a:ext>
                  </a:extLst>
                </xdr:cNvPr>
                <xdr:cNvSpPr/>
              </xdr:nvSpPr>
              <xdr:spPr>
                <a:xfrm>
                  <a:off x="13290706" y="2771775"/>
                  <a:ext cx="641384" cy="36576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0F6A820-D63E-4918-99BE-6D63A1D6F9A6}" type="TxLink">
                    <a:rPr lang="en-US" sz="800" b="0" i="0" u="none" strike="noStrike">
                      <a:solidFill>
                        <a:schemeClr val="bg1">
                          <a:lumMod val="100000"/>
                        </a:schemeClr>
                      </a:solidFill>
                      <a:latin typeface="Century Gothic"/>
                    </a:rPr>
                    <a:pPr algn="ctr"/>
                    <a:t>Max COVID 
24 - 50.0%</a:t>
                  </a:fld>
                  <a:endParaRPr lang="en-US" sz="800" b="0">
                    <a:solidFill>
                      <a:schemeClr val="bg1">
                        <a:lumMod val="100000"/>
                      </a:schemeClr>
                    </a:solidFill>
                  </a:endParaRPr>
                </a:p>
              </xdr:txBody>
            </xdr:sp>
            <xdr:sp macro="" textlink="Chart!H189">
              <xdr:nvSpPr>
                <xdr:cNvPr id="489" name="Rounded Rectangle 156">
                  <a:extLst>
                    <a:ext uri="{FF2B5EF4-FFF2-40B4-BE49-F238E27FC236}">
                      <a16:creationId xmlns:a16="http://schemas.microsoft.com/office/drawing/2014/main" id="{D4342216-60DD-41FB-ADB0-FA07F5FCD801}"/>
                    </a:ext>
                  </a:extLst>
                </xdr:cNvPr>
                <xdr:cNvSpPr/>
              </xdr:nvSpPr>
              <xdr:spPr>
                <a:xfrm>
                  <a:off x="14667798" y="2771775"/>
                  <a:ext cx="659709" cy="365760"/>
                </a:xfrm>
                <a:prstGeom prst="roundRect">
                  <a:avLst/>
                </a:prstGeom>
                <a:solidFill>
                  <a:schemeClr val="bg1"/>
                </a:solidFill>
                <a:ln w="19050">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6EF47E3-5DC8-4023-B14D-0CCE843F895B}" type="TxLink">
                    <a:rPr lang="en-US" sz="800" b="0" i="0" u="none" strike="noStrike">
                      <a:solidFill>
                        <a:schemeClr val="accent4">
                          <a:lumMod val="50000"/>
                        </a:schemeClr>
                      </a:solidFill>
                      <a:latin typeface="Century Gothic"/>
                    </a:rPr>
                    <a:pPr algn="ctr"/>
                    <a:t>All Beds
24 - 50.0%</a:t>
                  </a:fld>
                  <a:endParaRPr lang="en-US" sz="100" b="0">
                    <a:solidFill>
                      <a:schemeClr val="accent4">
                        <a:lumMod val="50000"/>
                      </a:schemeClr>
                    </a:solidFill>
                  </a:endParaRPr>
                </a:p>
              </xdr:txBody>
            </xdr:sp>
            <xdr:sp macro="" textlink="Chart!H198">
              <xdr:nvSpPr>
                <xdr:cNvPr id="490" name="Rounded Rectangle 157">
                  <a:extLst>
                    <a:ext uri="{FF2B5EF4-FFF2-40B4-BE49-F238E27FC236}">
                      <a16:creationId xmlns:a16="http://schemas.microsoft.com/office/drawing/2014/main" id="{820FEF25-3E8F-4529-B925-B21F2A562F87}"/>
                    </a:ext>
                  </a:extLst>
                </xdr:cNvPr>
                <xdr:cNvSpPr/>
              </xdr:nvSpPr>
              <xdr:spPr>
                <a:xfrm>
                  <a:off x="15401490" y="2771775"/>
                  <a:ext cx="641384" cy="36576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E09394AB-1A6C-4436-B949-C195A99E1327}" type="TxLink">
                    <a:rPr lang="en-US" sz="800" b="0" i="0" u="none" strike="noStrike">
                      <a:solidFill>
                        <a:schemeClr val="bg1">
                          <a:lumMod val="100000"/>
                        </a:schemeClr>
                      </a:solidFill>
                      <a:latin typeface="Century Gothic"/>
                    </a:rPr>
                    <a:pPr algn="ctr"/>
                    <a:t>Max COVID 
104 - 51.9%</a:t>
                  </a:fld>
                  <a:endParaRPr lang="en-US" sz="800" b="0">
                    <a:solidFill>
                      <a:schemeClr val="bg1">
                        <a:lumMod val="100000"/>
                      </a:schemeClr>
                    </a:solidFill>
                  </a:endParaRPr>
                </a:p>
              </xdr:txBody>
            </xdr:sp>
            <xdr:sp macro="" textlink="Chart!H200">
              <xdr:nvSpPr>
                <xdr:cNvPr id="491" name="Rounded Rectangle 158">
                  <a:extLst>
                    <a:ext uri="{FF2B5EF4-FFF2-40B4-BE49-F238E27FC236}">
                      <a16:creationId xmlns:a16="http://schemas.microsoft.com/office/drawing/2014/main" id="{3C79076B-A5EE-445C-BBB7-87B645557A0D}"/>
                    </a:ext>
                  </a:extLst>
                </xdr:cNvPr>
                <xdr:cNvSpPr/>
              </xdr:nvSpPr>
              <xdr:spPr>
                <a:xfrm>
                  <a:off x="16784074" y="2771775"/>
                  <a:ext cx="659709" cy="365760"/>
                </a:xfrm>
                <a:prstGeom prst="roundRect">
                  <a:avLst/>
                </a:prstGeom>
                <a:solidFill>
                  <a:schemeClr val="bg1"/>
                </a:solidFill>
                <a:ln w="19050">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7DAF6B0-09DE-4C43-BF44-B74ED528530E}" type="TxLink">
                    <a:rPr lang="en-US" sz="800" b="0" i="0" u="none" strike="noStrike">
                      <a:solidFill>
                        <a:schemeClr val="accent4"/>
                      </a:solidFill>
                      <a:latin typeface="Century Gothic"/>
                    </a:rPr>
                    <a:pPr algn="ctr"/>
                    <a:t>All Beds
275 - 19.6%</a:t>
                  </a:fld>
                  <a:endParaRPr lang="en-US" sz="100" b="0">
                    <a:solidFill>
                      <a:schemeClr val="accent4"/>
                    </a:solidFill>
                  </a:endParaRPr>
                </a:p>
              </xdr:txBody>
            </xdr:sp>
            <xdr:sp macro="" textlink="Chart!F186">
              <xdr:nvSpPr>
                <xdr:cNvPr id="492" name="Rounded Rectangle 159">
                  <a:extLst>
                    <a:ext uri="{FF2B5EF4-FFF2-40B4-BE49-F238E27FC236}">
                      <a16:creationId xmlns:a16="http://schemas.microsoft.com/office/drawing/2014/main" id="{C12C2B22-2E64-406B-A6FA-06D887895A62}"/>
                    </a:ext>
                  </a:extLst>
                </xdr:cNvPr>
                <xdr:cNvSpPr/>
              </xdr:nvSpPr>
              <xdr:spPr>
                <a:xfrm>
                  <a:off x="5456097" y="1362075"/>
                  <a:ext cx="711946" cy="22860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C74550F-342A-49CF-AD6A-8F6DF07F2053}" type="TxLink">
                    <a:rPr lang="en-US" sz="1400" b="1" i="0" u="none" strike="noStrike">
                      <a:solidFill>
                        <a:schemeClr val="bg1">
                          <a:lumMod val="100000"/>
                        </a:schemeClr>
                      </a:solidFill>
                      <a:latin typeface="Century Gothic"/>
                    </a:rPr>
                    <a:pPr algn="ctr"/>
                    <a:t>12</a:t>
                  </a:fld>
                  <a:endParaRPr lang="en-US" sz="1400" b="1">
                    <a:solidFill>
                      <a:schemeClr val="bg1">
                        <a:lumMod val="100000"/>
                      </a:schemeClr>
                    </a:solidFill>
                  </a:endParaRPr>
                </a:p>
              </xdr:txBody>
            </xdr:sp>
            <xdr:sp macro="" textlink="Chart!F197">
              <xdr:nvSpPr>
                <xdr:cNvPr id="493" name="Rounded Rectangle 160">
                  <a:extLst>
                    <a:ext uri="{FF2B5EF4-FFF2-40B4-BE49-F238E27FC236}">
                      <a16:creationId xmlns:a16="http://schemas.microsoft.com/office/drawing/2014/main" id="{4860AAAA-7343-4101-AB73-8F8C380AA0E3}"/>
                    </a:ext>
                  </a:extLst>
                </xdr:cNvPr>
                <xdr:cNvSpPr/>
              </xdr:nvSpPr>
              <xdr:spPr>
                <a:xfrm>
                  <a:off x="7578959" y="1362075"/>
                  <a:ext cx="711946" cy="22860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FFCB5A2-0AF8-4CE4-B376-0C1DC2509C31}" type="TxLink">
                    <a:rPr lang="en-US" sz="1400" b="1" i="0" u="none" strike="noStrike">
                      <a:solidFill>
                        <a:schemeClr val="bg1">
                          <a:lumMod val="100000"/>
                        </a:schemeClr>
                      </a:solidFill>
                      <a:latin typeface="Century Gothic"/>
                    </a:rPr>
                    <a:pPr algn="ctr"/>
                    <a:t>54</a:t>
                  </a:fld>
                  <a:endParaRPr lang="en-US" sz="1400" b="1">
                    <a:solidFill>
                      <a:schemeClr val="bg1">
                        <a:lumMod val="100000"/>
                      </a:schemeClr>
                    </a:solidFill>
                  </a:endParaRPr>
                </a:p>
              </xdr:txBody>
            </xdr:sp>
            <xdr:sp macro="" textlink="Chart!G186">
              <xdr:nvSpPr>
                <xdr:cNvPr id="494" name="Rounded Rectangle 161">
                  <a:extLst>
                    <a:ext uri="{FF2B5EF4-FFF2-40B4-BE49-F238E27FC236}">
                      <a16:creationId xmlns:a16="http://schemas.microsoft.com/office/drawing/2014/main" id="{63334C46-2DDD-4F44-BA02-43F164C371C5}"/>
                    </a:ext>
                  </a:extLst>
                </xdr:cNvPr>
                <xdr:cNvSpPr/>
              </xdr:nvSpPr>
              <xdr:spPr>
                <a:xfrm>
                  <a:off x="9701820" y="1362075"/>
                  <a:ext cx="711946" cy="22860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A66FF57-3039-4416-8A72-F682722E8D25}" type="TxLink">
                    <a:rPr lang="en-US" sz="1400" b="1" i="0" u="none" strike="noStrike">
                      <a:solidFill>
                        <a:schemeClr val="bg1">
                          <a:lumMod val="100000"/>
                        </a:schemeClr>
                      </a:solidFill>
                      <a:latin typeface="Century Gothic"/>
                    </a:rPr>
                    <a:pPr algn="ctr"/>
                    <a:t>12</a:t>
                  </a:fld>
                  <a:endParaRPr lang="en-US" sz="1400" b="1">
                    <a:solidFill>
                      <a:schemeClr val="bg1">
                        <a:lumMod val="100000"/>
                      </a:schemeClr>
                    </a:solidFill>
                  </a:endParaRPr>
                </a:p>
              </xdr:txBody>
            </xdr:sp>
            <xdr:sp macro="" textlink="Chart!G197">
              <xdr:nvSpPr>
                <xdr:cNvPr id="495" name="Rounded Rectangle 162">
                  <a:extLst>
                    <a:ext uri="{FF2B5EF4-FFF2-40B4-BE49-F238E27FC236}">
                      <a16:creationId xmlns:a16="http://schemas.microsoft.com/office/drawing/2014/main" id="{53220EFF-B3E8-4B0F-B18F-A944DCD21900}"/>
                    </a:ext>
                  </a:extLst>
                </xdr:cNvPr>
                <xdr:cNvSpPr/>
              </xdr:nvSpPr>
              <xdr:spPr>
                <a:xfrm>
                  <a:off x="11824681" y="1362075"/>
                  <a:ext cx="711946" cy="22860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43CAE87-D442-4F0B-AC80-A26D541B4C61}" type="TxLink">
                    <a:rPr lang="en-US" sz="1400" b="1" i="0" u="none" strike="noStrike">
                      <a:solidFill>
                        <a:schemeClr val="bg1">
                          <a:lumMod val="100000"/>
                        </a:schemeClr>
                      </a:solidFill>
                      <a:latin typeface="Century Gothic"/>
                    </a:rPr>
                    <a:pPr algn="ctr"/>
                    <a:t>54</a:t>
                  </a:fld>
                  <a:endParaRPr lang="en-US" sz="1400" b="1">
                    <a:solidFill>
                      <a:schemeClr val="bg1">
                        <a:lumMod val="100000"/>
                      </a:schemeClr>
                    </a:solidFill>
                  </a:endParaRPr>
                </a:p>
              </xdr:txBody>
            </xdr:sp>
            <xdr:sp macro="" textlink="Chart!H186">
              <xdr:nvSpPr>
                <xdr:cNvPr id="496" name="Rounded Rectangle 163">
                  <a:extLst>
                    <a:ext uri="{FF2B5EF4-FFF2-40B4-BE49-F238E27FC236}">
                      <a16:creationId xmlns:a16="http://schemas.microsoft.com/office/drawing/2014/main" id="{F9C91141-42FB-42A9-88F8-4111D7B96EB5}"/>
                    </a:ext>
                  </a:extLst>
                </xdr:cNvPr>
                <xdr:cNvSpPr/>
              </xdr:nvSpPr>
              <xdr:spPr>
                <a:xfrm>
                  <a:off x="13947542" y="1362075"/>
                  <a:ext cx="711946" cy="22860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9C2BE8B-A69C-4C4A-A42F-8817A81300F3}" type="TxLink">
                    <a:rPr lang="en-US" sz="1400" b="1" i="0" u="none" strike="noStrike">
                      <a:solidFill>
                        <a:schemeClr val="bg1">
                          <a:lumMod val="100000"/>
                        </a:schemeClr>
                      </a:solidFill>
                      <a:latin typeface="Century Gothic"/>
                    </a:rPr>
                    <a:pPr algn="ctr"/>
                    <a:t>12</a:t>
                  </a:fld>
                  <a:endParaRPr lang="en-US" sz="1400" b="1">
                    <a:solidFill>
                      <a:schemeClr val="bg1">
                        <a:lumMod val="100000"/>
                      </a:schemeClr>
                    </a:solidFill>
                  </a:endParaRPr>
                </a:p>
              </xdr:txBody>
            </xdr:sp>
            <xdr:sp macro="" textlink="Chart!H197">
              <xdr:nvSpPr>
                <xdr:cNvPr id="497" name="Rounded Rectangle 164">
                  <a:extLst>
                    <a:ext uri="{FF2B5EF4-FFF2-40B4-BE49-F238E27FC236}">
                      <a16:creationId xmlns:a16="http://schemas.microsoft.com/office/drawing/2014/main" id="{7C60AFD3-15A6-47EE-BB2B-B273B6B82238}"/>
                    </a:ext>
                  </a:extLst>
                </xdr:cNvPr>
                <xdr:cNvSpPr/>
              </xdr:nvSpPr>
              <xdr:spPr>
                <a:xfrm>
                  <a:off x="16070404" y="1362075"/>
                  <a:ext cx="711946" cy="22860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5E9483C-6C5D-4D46-8E99-4DEF2358C808}" type="TxLink">
                    <a:rPr lang="en-US" sz="1400" b="1" i="0" u="none" strike="noStrike">
                      <a:solidFill>
                        <a:schemeClr val="bg1">
                          <a:lumMod val="100000"/>
                        </a:schemeClr>
                      </a:solidFill>
                      <a:latin typeface="Century Gothic"/>
                    </a:rPr>
                    <a:pPr algn="ctr"/>
                    <a:t>54</a:t>
                  </a:fld>
                  <a:endParaRPr lang="en-US" sz="1400" b="1">
                    <a:solidFill>
                      <a:schemeClr val="bg1">
                        <a:lumMod val="100000"/>
                      </a:schemeClr>
                    </a:solidFill>
                  </a:endParaRPr>
                </a:p>
              </xdr:txBody>
            </xdr:sp>
            <xdr:sp macro="" textlink="Chart!F201">
              <xdr:nvSpPr>
                <xdr:cNvPr id="498" name="Rounded Rectangle 165">
                  <a:extLst>
                    <a:ext uri="{FF2B5EF4-FFF2-40B4-BE49-F238E27FC236}">
                      <a16:creationId xmlns:a16="http://schemas.microsoft.com/office/drawing/2014/main" id="{CF5EE777-09B1-4B25-BD51-010A30A2F584}"/>
                    </a:ext>
                  </a:extLst>
                </xdr:cNvPr>
                <xdr:cNvSpPr/>
              </xdr:nvSpPr>
              <xdr:spPr>
                <a:xfrm>
                  <a:off x="6386040" y="1362075"/>
                  <a:ext cx="960120" cy="459205"/>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9E6EAAA-9B9F-444A-AC84-A397A435858C}" type="TxLink">
                    <a:rPr lang="en-US" sz="1200" b="1" i="0" u="none" strike="noStrike">
                      <a:solidFill>
                        <a:schemeClr val="bg1"/>
                      </a:solidFill>
                      <a:latin typeface="Century Gothic"/>
                    </a:rPr>
                    <a:pPr algn="ctr"/>
                    <a:t>Total COVID
66</a:t>
                  </a:fld>
                  <a:endParaRPr lang="en-US" sz="1200" b="1">
                    <a:solidFill>
                      <a:schemeClr val="bg1"/>
                    </a:solidFill>
                  </a:endParaRPr>
                </a:p>
              </xdr:txBody>
            </xdr:sp>
            <xdr:sp macro="" textlink="Chart!G201">
              <xdr:nvSpPr>
                <xdr:cNvPr id="499" name="Rounded Rectangle 167">
                  <a:extLst>
                    <a:ext uri="{FF2B5EF4-FFF2-40B4-BE49-F238E27FC236}">
                      <a16:creationId xmlns:a16="http://schemas.microsoft.com/office/drawing/2014/main" id="{443F8821-9A8F-4B63-99B1-946FE83C1739}"/>
                    </a:ext>
                  </a:extLst>
                </xdr:cNvPr>
                <xdr:cNvSpPr/>
              </xdr:nvSpPr>
              <xdr:spPr>
                <a:xfrm>
                  <a:off x="10642010" y="1362075"/>
                  <a:ext cx="960120" cy="459205"/>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B116B18-7A04-44C7-BAB2-8DC958EF6AB3}" type="TxLink">
                    <a:rPr lang="en-US" sz="1200" b="1" i="0" u="none" strike="noStrike">
                      <a:solidFill>
                        <a:schemeClr val="bg1"/>
                      </a:solidFill>
                      <a:latin typeface="Century Gothic"/>
                    </a:rPr>
                    <a:pPr algn="ctr"/>
                    <a:t>Total COVID
66</a:t>
                  </a:fld>
                  <a:endParaRPr lang="en-US" sz="1200" b="1">
                    <a:solidFill>
                      <a:schemeClr val="bg1"/>
                    </a:solidFill>
                  </a:endParaRPr>
                </a:p>
              </xdr:txBody>
            </xdr:sp>
            <xdr:sp macro="" textlink="Chart!H201">
              <xdr:nvSpPr>
                <xdr:cNvPr id="500" name="Rounded Rectangle 168">
                  <a:extLst>
                    <a:ext uri="{FF2B5EF4-FFF2-40B4-BE49-F238E27FC236}">
                      <a16:creationId xmlns:a16="http://schemas.microsoft.com/office/drawing/2014/main" id="{AF146BB4-89E5-4A40-911B-B542F0AADDFD}"/>
                    </a:ext>
                  </a:extLst>
                </xdr:cNvPr>
                <xdr:cNvSpPr/>
              </xdr:nvSpPr>
              <xdr:spPr>
                <a:xfrm>
                  <a:off x="14887731" y="1362075"/>
                  <a:ext cx="960120" cy="459205"/>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650A0D9-21DC-4E7B-87F2-B9A00B94BC33}" type="TxLink">
                    <a:rPr lang="en-US" sz="1200" b="1" i="0" u="none" strike="noStrike">
                      <a:solidFill>
                        <a:schemeClr val="bg1"/>
                      </a:solidFill>
                      <a:latin typeface="Century Gothic"/>
                    </a:rPr>
                    <a:pPr algn="ctr"/>
                    <a:t>Total COVID
66</a:t>
                  </a:fld>
                  <a:endParaRPr lang="en-US" sz="1200" b="1">
                    <a:solidFill>
                      <a:schemeClr val="bg1"/>
                    </a:solidFill>
                  </a:endParaRPr>
                </a:p>
              </xdr:txBody>
            </xdr:sp>
          </xdr:grpSp>
        </xdr:grpSp>
        <mc:AlternateContent xmlns:mc="http://schemas.openxmlformats.org/markup-compatibility/2006" xmlns:a14="http://schemas.microsoft.com/office/drawing/2010/main">
          <mc:Choice Requires="a14">
            <xdr:pic>
              <xdr:nvPicPr>
                <xdr:cNvPr id="267" name="Picture 266">
                  <a:extLst>
                    <a:ext uri="{FF2B5EF4-FFF2-40B4-BE49-F238E27FC236}">
                      <a16:creationId xmlns:a16="http://schemas.microsoft.com/office/drawing/2014/main" id="{EEE058DD-2BCA-4C88-9EE0-ED9BE0E5B472}"/>
                    </a:ext>
                  </a:extLst>
                </xdr:cNvPr>
                <xdr:cNvPicPr>
                  <a:picLocks noChangeAspect="1" noChangeArrowheads="1"/>
                  <a:extLst>
                    <a:ext uri="{84589F7E-364E-4C9E-8A38-B11213B215E9}">
                      <a14:cameraTool cellRange="Labels!$A$11" spid="_x0000_s6259"/>
                    </a:ext>
                  </a:extLst>
                </xdr:cNvPicPr>
              </xdr:nvPicPr>
              <xdr:blipFill>
                <a:blip xmlns:r="http://schemas.openxmlformats.org/officeDocument/2006/relationships" r:embed="rId46"/>
                <a:srcRect/>
                <a:stretch>
                  <a:fillRect/>
                </a:stretch>
              </xdr:blipFill>
              <xdr:spPr bwMode="auto">
                <a:xfrm>
                  <a:off x="112938" y="11220791"/>
                  <a:ext cx="321541" cy="1295400"/>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mc:Choice>
          <mc:Fallback xmlns=""/>
        </mc:AlternateContent>
      </xdr:grpSp>
      <xdr:sp macro="" textlink="Chart!E188">
        <xdr:nvSpPr>
          <xdr:cNvPr id="424" name="Rounded Rectangle 142">
            <a:extLst>
              <a:ext uri="{FF2B5EF4-FFF2-40B4-BE49-F238E27FC236}">
                <a16:creationId xmlns:a16="http://schemas.microsoft.com/office/drawing/2014/main" id="{0885BC19-48B7-4B33-A852-8D77A6BE6C9D}"/>
              </a:ext>
            </a:extLst>
          </xdr:cNvPr>
          <xdr:cNvSpPr/>
        </xdr:nvSpPr>
        <xdr:spPr>
          <a:xfrm>
            <a:off x="1230502" y="12858968"/>
            <a:ext cx="642253" cy="363996"/>
          </a:xfrm>
          <a:prstGeom prst="roundRect">
            <a:avLst/>
          </a:prstGeom>
          <a:pattFill prst="pct5">
            <a:fgClr>
              <a:schemeClr val="accent1">
                <a:lumMod val="50000"/>
              </a:schemeClr>
            </a:fgClr>
            <a:bgClr>
              <a:schemeClr val="bg1"/>
            </a:bgClr>
          </a:patt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34D7960-CC44-423F-ABEA-8240BD4B76C1}" type="TxLink">
              <a:rPr lang="en-US" sz="800" b="0" i="0" u="none" strike="noStrike">
                <a:solidFill>
                  <a:schemeClr val="accent1">
                    <a:lumMod val="50000"/>
                  </a:schemeClr>
                </a:solidFill>
                <a:latin typeface="Century Gothic"/>
              </a:rPr>
              <a:pPr algn="ctr"/>
              <a:t>Crisis COVID 
24 - 50.0%</a:t>
            </a:fld>
            <a:endParaRPr lang="en-US" sz="600" b="0">
              <a:solidFill>
                <a:schemeClr val="accent1">
                  <a:lumMod val="50000"/>
                </a:schemeClr>
              </a:solidFill>
            </a:endParaRPr>
          </a:p>
        </xdr:txBody>
      </xdr:sp>
      <xdr:sp macro="" textlink="Chart!E199">
        <xdr:nvSpPr>
          <xdr:cNvPr id="464" name="Rounded Rectangle 144">
            <a:extLst>
              <a:ext uri="{FF2B5EF4-FFF2-40B4-BE49-F238E27FC236}">
                <a16:creationId xmlns:a16="http://schemas.microsoft.com/office/drawing/2014/main" id="{AFF54C92-9772-4017-8A0B-00F14322F9A8}"/>
              </a:ext>
            </a:extLst>
          </xdr:cNvPr>
          <xdr:cNvSpPr/>
        </xdr:nvSpPr>
        <xdr:spPr>
          <a:xfrm>
            <a:off x="3365524" y="12858968"/>
            <a:ext cx="642253" cy="363996"/>
          </a:xfrm>
          <a:prstGeom prst="roundRect">
            <a:avLst/>
          </a:prstGeom>
          <a:pattFill prst="pct5">
            <a:fgClr>
              <a:schemeClr val="accent1">
                <a:lumMod val="50000"/>
              </a:schemeClr>
            </a:fgClr>
            <a:bgClr>
              <a:schemeClr val="bg1"/>
            </a:bgClr>
          </a:patt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FE175B4-6170-4E7D-ACEC-AB39FD62B3C5}" type="TxLink">
              <a:rPr lang="en-US" sz="800" b="0" i="0" u="none" strike="noStrike">
                <a:solidFill>
                  <a:schemeClr val="accent1"/>
                </a:solidFill>
                <a:latin typeface="Century Gothic"/>
              </a:rPr>
              <a:pPr algn="ctr"/>
              <a:t>Crisis COVID 
104 - 28.8%</a:t>
            </a:fld>
            <a:endParaRPr lang="en-US" sz="600" b="0">
              <a:solidFill>
                <a:schemeClr val="accent1"/>
              </a:solidFill>
            </a:endParaRPr>
          </a:p>
        </xdr:txBody>
      </xdr:sp>
      <xdr:sp macro="" textlink="Chart!F187">
        <xdr:nvSpPr>
          <xdr:cNvPr id="501" name="Rounded Rectangle 147">
            <a:extLst>
              <a:ext uri="{FF2B5EF4-FFF2-40B4-BE49-F238E27FC236}">
                <a16:creationId xmlns:a16="http://schemas.microsoft.com/office/drawing/2014/main" id="{A3EF6088-427D-4E42-BC98-78452663447E}"/>
              </a:ext>
            </a:extLst>
          </xdr:cNvPr>
          <xdr:cNvSpPr/>
        </xdr:nvSpPr>
        <xdr:spPr>
          <a:xfrm>
            <a:off x="5490220" y="12858968"/>
            <a:ext cx="642253" cy="363996"/>
          </a:xfrm>
          <a:prstGeom prst="roundRect">
            <a:avLst/>
          </a:prstGeom>
          <a:pattFill prst="pct5">
            <a:fgClr>
              <a:schemeClr val="accent1">
                <a:lumMod val="50000"/>
              </a:schemeClr>
            </a:fgClr>
            <a:bgClr>
              <a:schemeClr val="bg1"/>
            </a:bgClr>
          </a:patt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832239F-C00C-47FD-8A16-2609A98423F7}" type="TxLink">
              <a:rPr lang="en-US" sz="600" b="0" i="0" u="none" strike="noStrike">
                <a:solidFill>
                  <a:schemeClr val="accent5">
                    <a:lumMod val="50000"/>
                  </a:schemeClr>
                </a:solidFill>
                <a:latin typeface="Century Gothic"/>
              </a:rPr>
              <a:pPr algn="ctr"/>
              <a:t>Max COVID 
24 - 50.0%</a:t>
            </a:fld>
            <a:endParaRPr lang="en-US" sz="600" b="0">
              <a:solidFill>
                <a:schemeClr val="accent5">
                  <a:lumMod val="50000"/>
                </a:schemeClr>
              </a:solidFill>
            </a:endParaRPr>
          </a:p>
        </xdr:txBody>
      </xdr:sp>
      <xdr:sp macro="" textlink="Chart!F199">
        <xdr:nvSpPr>
          <xdr:cNvPr id="502" name="Rounded Rectangle 149">
            <a:extLst>
              <a:ext uri="{FF2B5EF4-FFF2-40B4-BE49-F238E27FC236}">
                <a16:creationId xmlns:a16="http://schemas.microsoft.com/office/drawing/2014/main" id="{41A7AE88-23BB-46AB-B16E-11445E91D16B}"/>
              </a:ext>
            </a:extLst>
          </xdr:cNvPr>
          <xdr:cNvSpPr/>
        </xdr:nvSpPr>
        <xdr:spPr>
          <a:xfrm>
            <a:off x="7616999" y="12858968"/>
            <a:ext cx="642253" cy="363996"/>
          </a:xfrm>
          <a:prstGeom prst="roundRect">
            <a:avLst/>
          </a:prstGeom>
          <a:pattFill prst="pct5">
            <a:fgClr>
              <a:schemeClr val="accent5"/>
            </a:fgClr>
            <a:bgClr>
              <a:schemeClr val="bg1"/>
            </a:bgClr>
          </a:patt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08BA75D-B9DF-4056-A209-940E9B5D3B91}" type="TxLink">
              <a:rPr lang="en-US" sz="800" b="0" i="0" u="none" strike="noStrike">
                <a:solidFill>
                  <a:schemeClr val="accent5"/>
                </a:solidFill>
                <a:latin typeface="Century Gothic"/>
              </a:rPr>
              <a:pPr algn="ctr"/>
              <a:t>Crisis COVID 
104 - 51.9%</a:t>
            </a:fld>
            <a:endParaRPr lang="en-US" sz="600" b="0">
              <a:solidFill>
                <a:schemeClr val="accent5"/>
              </a:solidFill>
            </a:endParaRPr>
          </a:p>
        </xdr:txBody>
      </xdr:sp>
      <xdr:sp macro="" textlink="Chart!G188">
        <xdr:nvSpPr>
          <xdr:cNvPr id="503" name="Rounded Rectangle 151">
            <a:extLst>
              <a:ext uri="{FF2B5EF4-FFF2-40B4-BE49-F238E27FC236}">
                <a16:creationId xmlns:a16="http://schemas.microsoft.com/office/drawing/2014/main" id="{231E582E-CA57-4D95-A151-6EB5E88A1DD8}"/>
              </a:ext>
            </a:extLst>
          </xdr:cNvPr>
          <xdr:cNvSpPr/>
        </xdr:nvSpPr>
        <xdr:spPr>
          <a:xfrm>
            <a:off x="9744933" y="12858968"/>
            <a:ext cx="642253" cy="363996"/>
          </a:xfrm>
          <a:prstGeom prst="roundRect">
            <a:avLst/>
          </a:prstGeom>
          <a:pattFill prst="pct5">
            <a:fgClr>
              <a:schemeClr val="accent1">
                <a:lumMod val="50000"/>
              </a:schemeClr>
            </a:fgClr>
            <a:bgClr>
              <a:schemeClr val="bg1"/>
            </a:bgClr>
          </a:patt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D84675A-BB3D-4862-AD16-40E182879F23}" type="TxLink">
              <a:rPr lang="en-US" sz="800" b="0" i="0" u="none" strike="noStrike">
                <a:solidFill>
                  <a:schemeClr val="accent6">
                    <a:lumMod val="50000"/>
                  </a:schemeClr>
                </a:solidFill>
                <a:latin typeface="Century Gothic"/>
              </a:rPr>
              <a:pPr algn="ctr"/>
              <a:t>Crisis COVID 
24 - 50.0%</a:t>
            </a:fld>
            <a:endParaRPr lang="en-US" sz="600" b="0">
              <a:solidFill>
                <a:schemeClr val="accent6">
                  <a:lumMod val="50000"/>
                </a:schemeClr>
              </a:solidFill>
            </a:endParaRPr>
          </a:p>
        </xdr:txBody>
      </xdr:sp>
      <xdr:sp macro="" textlink="Chart!G199">
        <xdr:nvSpPr>
          <xdr:cNvPr id="504" name="Rounded Rectangle 153">
            <a:extLst>
              <a:ext uri="{FF2B5EF4-FFF2-40B4-BE49-F238E27FC236}">
                <a16:creationId xmlns:a16="http://schemas.microsoft.com/office/drawing/2014/main" id="{57B95887-EAA6-45DF-93F8-BDEC763EB1C8}"/>
              </a:ext>
            </a:extLst>
          </xdr:cNvPr>
          <xdr:cNvSpPr/>
        </xdr:nvSpPr>
        <xdr:spPr>
          <a:xfrm>
            <a:off x="11867130" y="12858968"/>
            <a:ext cx="642253" cy="363996"/>
          </a:xfrm>
          <a:prstGeom prst="roundRect">
            <a:avLst/>
          </a:prstGeom>
          <a:pattFill prst="pct5">
            <a:fgClr>
              <a:schemeClr val="accent1">
                <a:lumMod val="50000"/>
              </a:schemeClr>
            </a:fgClr>
            <a:bgClr>
              <a:schemeClr val="bg1"/>
            </a:bgClr>
          </a:patt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A0E2E30-D98D-44A0-A8A7-FB6AE01121DC}" type="TxLink">
              <a:rPr lang="en-US" sz="800" b="0" i="0" u="none" strike="noStrike">
                <a:solidFill>
                  <a:schemeClr val="accent6"/>
                </a:solidFill>
                <a:latin typeface="Century Gothic"/>
              </a:rPr>
              <a:pPr algn="ctr"/>
              <a:t>Crisis COVID 
104 - 51.9%</a:t>
            </a:fld>
            <a:endParaRPr lang="en-US" sz="600" b="0">
              <a:solidFill>
                <a:schemeClr val="accent6"/>
              </a:solidFill>
            </a:endParaRPr>
          </a:p>
        </xdr:txBody>
      </xdr:sp>
      <xdr:sp macro="" textlink="Chart!H188">
        <xdr:nvSpPr>
          <xdr:cNvPr id="505" name="Rounded Rectangle 155">
            <a:extLst>
              <a:ext uri="{FF2B5EF4-FFF2-40B4-BE49-F238E27FC236}">
                <a16:creationId xmlns:a16="http://schemas.microsoft.com/office/drawing/2014/main" id="{7E6E059D-8110-4DFB-87E3-34E86BBB0F4D}"/>
              </a:ext>
            </a:extLst>
          </xdr:cNvPr>
          <xdr:cNvSpPr/>
        </xdr:nvSpPr>
        <xdr:spPr>
          <a:xfrm>
            <a:off x="13998182" y="12858968"/>
            <a:ext cx="642253" cy="363996"/>
          </a:xfrm>
          <a:prstGeom prst="roundRect">
            <a:avLst/>
          </a:prstGeom>
          <a:pattFill prst="pct5">
            <a:fgClr>
              <a:schemeClr val="accent1">
                <a:lumMod val="50000"/>
              </a:schemeClr>
            </a:fgClr>
            <a:bgClr>
              <a:schemeClr val="bg1"/>
            </a:bgClr>
          </a:patt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578EDEE-9B97-4F48-B1C4-71E46C845B9D}" type="TxLink">
              <a:rPr lang="en-US" sz="800" b="0" i="0" u="none" strike="noStrike">
                <a:solidFill>
                  <a:schemeClr val="accent4">
                    <a:lumMod val="50000"/>
                  </a:schemeClr>
                </a:solidFill>
                <a:latin typeface="Century Gothic"/>
              </a:rPr>
              <a:pPr algn="ctr"/>
              <a:t>Crisis COVID 
24 - 50.0%</a:t>
            </a:fld>
            <a:endParaRPr lang="en-US" sz="600" b="0">
              <a:solidFill>
                <a:schemeClr val="accent4">
                  <a:lumMod val="50000"/>
                </a:schemeClr>
              </a:solidFill>
            </a:endParaRPr>
          </a:p>
        </xdr:txBody>
      </xdr:sp>
      <xdr:sp macro="" textlink="Chart!H199">
        <xdr:nvSpPr>
          <xdr:cNvPr id="506" name="Rounded Rectangle 157">
            <a:extLst>
              <a:ext uri="{FF2B5EF4-FFF2-40B4-BE49-F238E27FC236}">
                <a16:creationId xmlns:a16="http://schemas.microsoft.com/office/drawing/2014/main" id="{CCF56B4C-6A89-4673-9EBA-3294BC794E5A}"/>
              </a:ext>
            </a:extLst>
          </xdr:cNvPr>
          <xdr:cNvSpPr/>
        </xdr:nvSpPr>
        <xdr:spPr>
          <a:xfrm>
            <a:off x="16113254" y="12858968"/>
            <a:ext cx="644898" cy="363996"/>
          </a:xfrm>
          <a:prstGeom prst="roundRect">
            <a:avLst/>
          </a:prstGeom>
          <a:pattFill prst="pct5">
            <a:fgClr>
              <a:schemeClr val="accent1">
                <a:lumMod val="50000"/>
              </a:schemeClr>
            </a:fgClr>
            <a:bgClr>
              <a:schemeClr val="bg1"/>
            </a:bgClr>
          </a:patt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B67530A-6AE1-4AE0-8A25-133BD62677B0}" type="TxLink">
              <a:rPr lang="en-US" sz="800" b="0" i="0" u="none" strike="noStrike">
                <a:solidFill>
                  <a:schemeClr val="accent4"/>
                </a:solidFill>
                <a:latin typeface="Century Gothic"/>
              </a:rPr>
              <a:pPr algn="ctr"/>
              <a:t>Crisis COVID 
104 - 51.9%</a:t>
            </a:fld>
            <a:endParaRPr lang="en-US" sz="600" b="0">
              <a:solidFill>
                <a:schemeClr val="accent4"/>
              </a:solidFill>
            </a:endParaRPr>
          </a:p>
        </xdr:txBody>
      </xdr:sp>
    </xdr:grpSp>
    <xdr:clientData/>
  </xdr:twoCellAnchor>
  <xdr:twoCellAnchor>
    <xdr:from>
      <xdr:col>0</xdr:col>
      <xdr:colOff>9525</xdr:colOff>
      <xdr:row>9</xdr:row>
      <xdr:rowOff>210</xdr:rowOff>
    </xdr:from>
    <xdr:to>
      <xdr:col>17</xdr:col>
      <xdr:colOff>104775</xdr:colOff>
      <xdr:row>23</xdr:row>
      <xdr:rowOff>134711</xdr:rowOff>
    </xdr:to>
    <xdr:grpSp>
      <xdr:nvGrpSpPr>
        <xdr:cNvPr id="13" name="Group 12">
          <a:extLst>
            <a:ext uri="{FF2B5EF4-FFF2-40B4-BE49-F238E27FC236}">
              <a16:creationId xmlns:a16="http://schemas.microsoft.com/office/drawing/2014/main" id="{DAF5F69F-CB74-4653-A91B-9280EE8A82A4}"/>
            </a:ext>
          </a:extLst>
        </xdr:cNvPr>
        <xdr:cNvGrpSpPr/>
      </xdr:nvGrpSpPr>
      <xdr:grpSpPr>
        <a:xfrm>
          <a:off x="8467" y="1841710"/>
          <a:ext cx="18855266" cy="2448018"/>
          <a:chOff x="9525" y="1845679"/>
          <a:chExt cx="17537906" cy="2468126"/>
        </a:xfrm>
      </xdr:grpSpPr>
      <xdr:grpSp>
        <xdr:nvGrpSpPr>
          <xdr:cNvPr id="4" name="Group 3">
            <a:extLst>
              <a:ext uri="{FF2B5EF4-FFF2-40B4-BE49-F238E27FC236}">
                <a16:creationId xmlns:a16="http://schemas.microsoft.com/office/drawing/2014/main" id="{C052B92F-760E-4A6B-9A75-0895F3D51D80}"/>
              </a:ext>
            </a:extLst>
          </xdr:cNvPr>
          <xdr:cNvGrpSpPr/>
        </xdr:nvGrpSpPr>
        <xdr:grpSpPr>
          <a:xfrm>
            <a:off x="9525" y="1845679"/>
            <a:ext cx="17537906" cy="2468126"/>
            <a:chOff x="9525" y="1883229"/>
            <a:chExt cx="17573625" cy="2537732"/>
          </a:xfrm>
        </xdr:grpSpPr>
        <xdr:grpSp>
          <xdr:nvGrpSpPr>
            <xdr:cNvPr id="300" name="Group 299">
              <a:extLst>
                <a:ext uri="{FF2B5EF4-FFF2-40B4-BE49-F238E27FC236}">
                  <a16:creationId xmlns:a16="http://schemas.microsoft.com/office/drawing/2014/main" id="{33F1DD85-9965-4AB5-A4A0-0E1CEC3BDCD1}"/>
                </a:ext>
              </a:extLst>
            </xdr:cNvPr>
            <xdr:cNvGrpSpPr/>
          </xdr:nvGrpSpPr>
          <xdr:grpSpPr>
            <a:xfrm>
              <a:off x="9525" y="1883229"/>
              <a:ext cx="17573625" cy="2537732"/>
              <a:chOff x="9525" y="1390650"/>
              <a:chExt cx="17573625" cy="2543175"/>
            </a:xfrm>
          </xdr:grpSpPr>
          <xdr:sp macro="" textlink="">
            <xdr:nvSpPr>
              <xdr:cNvPr id="298" name="Rectangle: Rounded Corners 297">
                <a:extLst>
                  <a:ext uri="{FF2B5EF4-FFF2-40B4-BE49-F238E27FC236}">
                    <a16:creationId xmlns:a16="http://schemas.microsoft.com/office/drawing/2014/main" id="{E1CCFFF9-D9E6-4273-8763-EA7478BA77F7}"/>
                  </a:ext>
                </a:extLst>
              </xdr:cNvPr>
              <xdr:cNvSpPr/>
            </xdr:nvSpPr>
            <xdr:spPr>
              <a:xfrm>
                <a:off x="9525" y="1390650"/>
                <a:ext cx="17573625" cy="1866900"/>
              </a:xfrm>
              <a:prstGeom prst="roundRect">
                <a:avLst/>
              </a:prstGeom>
              <a:solidFill>
                <a:schemeClr val="bg1">
                  <a:lumMod val="85000"/>
                </a:schemeClr>
              </a:solidFill>
              <a:ln w="28575">
                <a:solidFill>
                  <a:schemeClr val="bg1">
                    <a:lumMod val="65000"/>
                  </a:schemeClr>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12" name="Group 111">
                <a:extLst>
                  <a:ext uri="{FF2B5EF4-FFF2-40B4-BE49-F238E27FC236}">
                    <a16:creationId xmlns:a16="http://schemas.microsoft.com/office/drawing/2014/main" id="{ED527155-242F-4A7E-8F0C-6A994C175B71}"/>
                  </a:ext>
                </a:extLst>
              </xdr:cNvPr>
              <xdr:cNvGrpSpPr/>
            </xdr:nvGrpSpPr>
            <xdr:grpSpPr>
              <a:xfrm>
                <a:off x="542925" y="1438275"/>
                <a:ext cx="16906875" cy="2495550"/>
                <a:chOff x="542925" y="1362075"/>
                <a:chExt cx="16906875" cy="2554605"/>
              </a:xfrm>
            </xdr:grpSpPr>
            <xdr:graphicFrame macro="">
              <xdr:nvGraphicFramePr>
                <xdr:cNvPr id="64" name="Chart 63">
                  <a:extLst>
                    <a:ext uri="{FF2B5EF4-FFF2-40B4-BE49-F238E27FC236}">
                      <a16:creationId xmlns:a16="http://schemas.microsoft.com/office/drawing/2014/main" id="{12352D94-ADD3-4118-809F-5F16C50363A1}"/>
                    </a:ext>
                  </a:extLst>
                </xdr:cNvPr>
                <xdr:cNvGraphicFramePr>
                  <a:graphicFrameLocks/>
                </xdr:cNvGraphicFramePr>
              </xdr:nvGraphicFramePr>
              <xdr:xfrm>
                <a:off x="542925" y="1447800"/>
                <a:ext cx="2046846" cy="2468880"/>
              </xdr:xfrm>
              <a:graphic>
                <a:graphicData uri="http://schemas.openxmlformats.org/drawingml/2006/chart">
                  <c:chart xmlns:c="http://schemas.openxmlformats.org/drawingml/2006/chart" xmlns:r="http://schemas.openxmlformats.org/officeDocument/2006/relationships" r:id="rId47"/>
                </a:graphicData>
              </a:graphic>
            </xdr:graphicFrame>
            <xdr:graphicFrame macro="">
              <xdr:nvGraphicFramePr>
                <xdr:cNvPr id="65" name="Chart 64">
                  <a:extLst>
                    <a:ext uri="{FF2B5EF4-FFF2-40B4-BE49-F238E27FC236}">
                      <a16:creationId xmlns:a16="http://schemas.microsoft.com/office/drawing/2014/main" id="{43733583-ECEA-4E4A-8490-6363EEF20EC9}"/>
                    </a:ext>
                  </a:extLst>
                </xdr:cNvPr>
                <xdr:cNvGraphicFramePr>
                  <a:graphicFrameLocks/>
                </xdr:cNvGraphicFramePr>
              </xdr:nvGraphicFramePr>
              <xdr:xfrm>
                <a:off x="2665786" y="1447800"/>
                <a:ext cx="2046846" cy="2468880"/>
              </xdr:xfrm>
              <a:graphic>
                <a:graphicData uri="http://schemas.openxmlformats.org/drawingml/2006/chart">
                  <c:chart xmlns:c="http://schemas.openxmlformats.org/drawingml/2006/chart" xmlns:r="http://schemas.openxmlformats.org/officeDocument/2006/relationships" r:id="rId48"/>
                </a:graphicData>
              </a:graphic>
            </xdr:graphicFrame>
            <xdr:graphicFrame macro="">
              <xdr:nvGraphicFramePr>
                <xdr:cNvPr id="66" name="Chart 65">
                  <a:extLst>
                    <a:ext uri="{FF2B5EF4-FFF2-40B4-BE49-F238E27FC236}">
                      <a16:creationId xmlns:a16="http://schemas.microsoft.com/office/drawing/2014/main" id="{022E0073-8795-46C6-A592-43B64BD04E08}"/>
                    </a:ext>
                  </a:extLst>
                </xdr:cNvPr>
                <xdr:cNvGraphicFramePr>
                  <a:graphicFrameLocks/>
                </xdr:cNvGraphicFramePr>
              </xdr:nvGraphicFramePr>
              <xdr:xfrm>
                <a:off x="4788648" y="1447800"/>
                <a:ext cx="2046846" cy="2468880"/>
              </xdr:xfrm>
              <a:graphic>
                <a:graphicData uri="http://schemas.openxmlformats.org/drawingml/2006/chart">
                  <c:chart xmlns:c="http://schemas.openxmlformats.org/drawingml/2006/chart" xmlns:r="http://schemas.openxmlformats.org/officeDocument/2006/relationships" r:id="rId49"/>
                </a:graphicData>
              </a:graphic>
            </xdr:graphicFrame>
            <xdr:graphicFrame macro="">
              <xdr:nvGraphicFramePr>
                <xdr:cNvPr id="67" name="Chart 66">
                  <a:extLst>
                    <a:ext uri="{FF2B5EF4-FFF2-40B4-BE49-F238E27FC236}">
                      <a16:creationId xmlns:a16="http://schemas.microsoft.com/office/drawing/2014/main" id="{9F44B03C-B037-477F-B3E2-998DFE71636A}"/>
                    </a:ext>
                  </a:extLst>
                </xdr:cNvPr>
                <xdr:cNvGraphicFramePr>
                  <a:graphicFrameLocks/>
                </xdr:cNvGraphicFramePr>
              </xdr:nvGraphicFramePr>
              <xdr:xfrm>
                <a:off x="6911509" y="1447800"/>
                <a:ext cx="2046846" cy="2468880"/>
              </xdr:xfrm>
              <a:graphic>
                <a:graphicData uri="http://schemas.openxmlformats.org/drawingml/2006/chart">
                  <c:chart xmlns:c="http://schemas.openxmlformats.org/drawingml/2006/chart" xmlns:r="http://schemas.openxmlformats.org/officeDocument/2006/relationships" r:id="rId50"/>
                </a:graphicData>
              </a:graphic>
            </xdr:graphicFrame>
            <xdr:graphicFrame macro="">
              <xdr:nvGraphicFramePr>
                <xdr:cNvPr id="68" name="Chart 67">
                  <a:extLst>
                    <a:ext uri="{FF2B5EF4-FFF2-40B4-BE49-F238E27FC236}">
                      <a16:creationId xmlns:a16="http://schemas.microsoft.com/office/drawing/2014/main" id="{50C1173B-3E91-4307-BE40-2C7EBD579951}"/>
                    </a:ext>
                  </a:extLst>
                </xdr:cNvPr>
                <xdr:cNvGraphicFramePr>
                  <a:graphicFrameLocks/>
                </xdr:cNvGraphicFramePr>
              </xdr:nvGraphicFramePr>
              <xdr:xfrm>
                <a:off x="9034370" y="1447800"/>
                <a:ext cx="2046846" cy="2468880"/>
              </xdr:xfrm>
              <a:graphic>
                <a:graphicData uri="http://schemas.openxmlformats.org/drawingml/2006/chart">
                  <c:chart xmlns:c="http://schemas.openxmlformats.org/drawingml/2006/chart" xmlns:r="http://schemas.openxmlformats.org/officeDocument/2006/relationships" r:id="rId51"/>
                </a:graphicData>
              </a:graphic>
            </xdr:graphicFrame>
            <xdr:graphicFrame macro="">
              <xdr:nvGraphicFramePr>
                <xdr:cNvPr id="69" name="Chart 68">
                  <a:extLst>
                    <a:ext uri="{FF2B5EF4-FFF2-40B4-BE49-F238E27FC236}">
                      <a16:creationId xmlns:a16="http://schemas.microsoft.com/office/drawing/2014/main" id="{380A94B1-DA7F-47B1-8070-7CD819118D8C}"/>
                    </a:ext>
                  </a:extLst>
                </xdr:cNvPr>
                <xdr:cNvGraphicFramePr>
                  <a:graphicFrameLocks/>
                </xdr:cNvGraphicFramePr>
              </xdr:nvGraphicFramePr>
              <xdr:xfrm>
                <a:off x="11157231" y="1447800"/>
                <a:ext cx="2046846" cy="2468880"/>
              </xdr:xfrm>
              <a:graphic>
                <a:graphicData uri="http://schemas.openxmlformats.org/drawingml/2006/chart">
                  <c:chart xmlns:c="http://schemas.openxmlformats.org/drawingml/2006/chart" xmlns:r="http://schemas.openxmlformats.org/officeDocument/2006/relationships" r:id="rId52"/>
                </a:graphicData>
              </a:graphic>
            </xdr:graphicFrame>
            <xdr:graphicFrame macro="">
              <xdr:nvGraphicFramePr>
                <xdr:cNvPr id="70" name="Chart 69">
                  <a:extLst>
                    <a:ext uri="{FF2B5EF4-FFF2-40B4-BE49-F238E27FC236}">
                      <a16:creationId xmlns:a16="http://schemas.microsoft.com/office/drawing/2014/main" id="{98EA6BA1-D432-4BBA-AC68-7FBC23026BEE}"/>
                    </a:ext>
                  </a:extLst>
                </xdr:cNvPr>
                <xdr:cNvGraphicFramePr>
                  <a:graphicFrameLocks/>
                </xdr:cNvGraphicFramePr>
              </xdr:nvGraphicFramePr>
              <xdr:xfrm>
                <a:off x="13280093" y="1447800"/>
                <a:ext cx="2046846" cy="2468880"/>
              </xdr:xfrm>
              <a:graphic>
                <a:graphicData uri="http://schemas.openxmlformats.org/drawingml/2006/chart">
                  <c:chart xmlns:c="http://schemas.openxmlformats.org/drawingml/2006/chart" xmlns:r="http://schemas.openxmlformats.org/officeDocument/2006/relationships" r:id="rId53"/>
                </a:graphicData>
              </a:graphic>
            </xdr:graphicFrame>
            <xdr:graphicFrame macro="">
              <xdr:nvGraphicFramePr>
                <xdr:cNvPr id="71" name="Chart 70">
                  <a:extLst>
                    <a:ext uri="{FF2B5EF4-FFF2-40B4-BE49-F238E27FC236}">
                      <a16:creationId xmlns:a16="http://schemas.microsoft.com/office/drawing/2014/main" id="{28A69691-5808-49B5-A13A-FCBFA9231F9E}"/>
                    </a:ext>
                  </a:extLst>
                </xdr:cNvPr>
                <xdr:cNvGraphicFramePr>
                  <a:graphicFrameLocks/>
                </xdr:cNvGraphicFramePr>
              </xdr:nvGraphicFramePr>
              <xdr:xfrm>
                <a:off x="15402954" y="1447800"/>
                <a:ext cx="2046846" cy="2468880"/>
              </xdr:xfrm>
              <a:graphic>
                <a:graphicData uri="http://schemas.openxmlformats.org/drawingml/2006/chart">
                  <c:chart xmlns:c="http://schemas.openxmlformats.org/drawingml/2006/chart" xmlns:r="http://schemas.openxmlformats.org/officeDocument/2006/relationships" r:id="rId54"/>
                </a:graphicData>
              </a:graphic>
            </xdr:graphicFrame>
            <xdr:sp macro="" textlink="Chart!E71">
              <xdr:nvSpPr>
                <xdr:cNvPr id="84" name="Rounded Rectangle 140">
                  <a:extLst>
                    <a:ext uri="{FF2B5EF4-FFF2-40B4-BE49-F238E27FC236}">
                      <a16:creationId xmlns:a16="http://schemas.microsoft.com/office/drawing/2014/main" id="{88F08BB1-430D-4078-8767-934B5FEDA446}"/>
                    </a:ext>
                  </a:extLst>
                </xdr:cNvPr>
                <xdr:cNvSpPr/>
              </xdr:nvSpPr>
              <xdr:spPr>
                <a:xfrm>
                  <a:off x="1210375" y="1362075"/>
                  <a:ext cx="711946" cy="22860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FCDFB8F-E2FB-4F1C-B053-437A508EA35B}" type="TxLink">
                    <a:rPr lang="en-US" sz="1400" b="1" i="0" u="none" strike="noStrike">
                      <a:solidFill>
                        <a:schemeClr val="bg1"/>
                      </a:solidFill>
                      <a:latin typeface="Century Gothic"/>
                    </a:rPr>
                    <a:pPr algn="ctr"/>
                    <a:t>102</a:t>
                  </a:fld>
                  <a:endParaRPr lang="en-US" sz="1400" b="1">
                    <a:solidFill>
                      <a:schemeClr val="bg1"/>
                    </a:solidFill>
                  </a:endParaRPr>
                </a:p>
              </xdr:txBody>
            </xdr:sp>
            <xdr:sp macro="" textlink="Chart!E82">
              <xdr:nvSpPr>
                <xdr:cNvPr id="85" name="Rounded Rectangle 141">
                  <a:extLst>
                    <a:ext uri="{FF2B5EF4-FFF2-40B4-BE49-F238E27FC236}">
                      <a16:creationId xmlns:a16="http://schemas.microsoft.com/office/drawing/2014/main" id="{AF3D9B54-E3A8-4802-A0CB-446682781BF6}"/>
                    </a:ext>
                  </a:extLst>
                </xdr:cNvPr>
                <xdr:cNvSpPr/>
              </xdr:nvSpPr>
              <xdr:spPr>
                <a:xfrm>
                  <a:off x="3333236" y="1362075"/>
                  <a:ext cx="711946" cy="2286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604666D-CFC7-43B3-AF64-BFEDF09CFF12}" type="TxLink">
                    <a:rPr lang="en-US" sz="1400" b="1" i="0" u="none" strike="noStrike">
                      <a:solidFill>
                        <a:schemeClr val="bg1"/>
                      </a:solidFill>
                      <a:latin typeface="Century Gothic"/>
                    </a:rPr>
                    <a:pPr algn="ctr"/>
                    <a:t>225</a:t>
                  </a:fld>
                  <a:endParaRPr lang="en-US" sz="3600" b="1">
                    <a:solidFill>
                      <a:schemeClr val="bg1"/>
                    </a:solidFill>
                  </a:endParaRPr>
                </a:p>
              </xdr:txBody>
            </xdr:sp>
            <xdr:sp macro="" textlink="Chart!E72">
              <xdr:nvSpPr>
                <xdr:cNvPr id="86" name="Rounded Rectangle 142">
                  <a:extLst>
                    <a:ext uri="{FF2B5EF4-FFF2-40B4-BE49-F238E27FC236}">
                      <a16:creationId xmlns:a16="http://schemas.microsoft.com/office/drawing/2014/main" id="{E7827693-71FA-4868-9E3D-5F5E6B4E2F79}"/>
                    </a:ext>
                  </a:extLst>
                </xdr:cNvPr>
                <xdr:cNvSpPr/>
              </xdr:nvSpPr>
              <xdr:spPr>
                <a:xfrm>
                  <a:off x="552195" y="2769249"/>
                  <a:ext cx="640080" cy="365760"/>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52A8F81-06C0-48E1-991D-DED0DEA7556E}" type="TxLink">
                    <a:rPr lang="en-US" sz="800" b="0" i="0" u="none" strike="noStrike">
                      <a:solidFill>
                        <a:schemeClr val="bg1"/>
                      </a:solidFill>
                      <a:latin typeface="Century Gothic"/>
                    </a:rPr>
                    <a:pPr algn="ctr"/>
                    <a:t>Max COVID 
302 - 33.8%</a:t>
                  </a:fld>
                  <a:endParaRPr lang="en-US" sz="700" b="0">
                    <a:solidFill>
                      <a:schemeClr val="bg1"/>
                    </a:solidFill>
                  </a:endParaRPr>
                </a:p>
              </xdr:txBody>
            </xdr:sp>
            <xdr:sp macro="" textlink="Chart!E74">
              <xdr:nvSpPr>
                <xdr:cNvPr id="87" name="Rounded Rectangle 143">
                  <a:extLst>
                    <a:ext uri="{FF2B5EF4-FFF2-40B4-BE49-F238E27FC236}">
                      <a16:creationId xmlns:a16="http://schemas.microsoft.com/office/drawing/2014/main" id="{DC6F386D-DB79-4680-B32B-76646323DFE7}"/>
                    </a:ext>
                  </a:extLst>
                </xdr:cNvPr>
                <xdr:cNvSpPr/>
              </xdr:nvSpPr>
              <xdr:spPr>
                <a:xfrm>
                  <a:off x="1916689" y="2769249"/>
                  <a:ext cx="658368"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00F90FF-40A1-4215-9CDE-EF7F23D769E4}" type="TxLink">
                    <a:rPr lang="en-US" sz="800" b="0" i="0" u="none" strike="noStrike">
                      <a:solidFill>
                        <a:schemeClr val="accent1">
                          <a:lumMod val="50000"/>
                        </a:schemeClr>
                      </a:solidFill>
                      <a:latin typeface="Century Gothic"/>
                    </a:rPr>
                    <a:pPr algn="ctr"/>
                    <a:t>All Beds
677 - 15.1%</a:t>
                  </a:fld>
                  <a:endParaRPr lang="en-US" sz="500" b="0">
                    <a:solidFill>
                      <a:schemeClr val="accent1">
                        <a:lumMod val="50000"/>
                      </a:schemeClr>
                    </a:solidFill>
                  </a:endParaRPr>
                </a:p>
              </xdr:txBody>
            </xdr:sp>
            <xdr:sp macro="" textlink="Chart!E83">
              <xdr:nvSpPr>
                <xdr:cNvPr id="88" name="Rounded Rectangle 144">
                  <a:extLst>
                    <a:ext uri="{FF2B5EF4-FFF2-40B4-BE49-F238E27FC236}">
                      <a16:creationId xmlns:a16="http://schemas.microsoft.com/office/drawing/2014/main" id="{F70F57DA-B99E-4332-9BE3-5C65CADFB44E}"/>
                    </a:ext>
                  </a:extLst>
                </xdr:cNvPr>
                <xdr:cNvSpPr/>
              </xdr:nvSpPr>
              <xdr:spPr>
                <a:xfrm>
                  <a:off x="2684327" y="2769249"/>
                  <a:ext cx="640080" cy="36576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3A2F8D2-F48E-4945-A4E5-998DA83E096E}" type="TxLink">
                    <a:rPr lang="en-US" sz="800" b="0" i="0" u="none" strike="noStrike">
                      <a:solidFill>
                        <a:schemeClr val="bg1"/>
                      </a:solidFill>
                      <a:latin typeface="Century Gothic"/>
                    </a:rPr>
                    <a:pPr algn="ctr"/>
                    <a:t>Max COVID 
744 - 30.2%</a:t>
                  </a:fld>
                  <a:endParaRPr lang="en-US" sz="100" b="0">
                    <a:solidFill>
                      <a:schemeClr val="bg1"/>
                    </a:solidFill>
                  </a:endParaRPr>
                </a:p>
              </xdr:txBody>
            </xdr:sp>
            <xdr:sp macro="" textlink="Chart!E85">
              <xdr:nvSpPr>
                <xdr:cNvPr id="89" name="Rounded Rectangle 145">
                  <a:extLst>
                    <a:ext uri="{FF2B5EF4-FFF2-40B4-BE49-F238E27FC236}">
                      <a16:creationId xmlns:a16="http://schemas.microsoft.com/office/drawing/2014/main" id="{9D2C8326-058D-4AD3-B5DA-AF6BBB7F3443}"/>
                    </a:ext>
                  </a:extLst>
                </xdr:cNvPr>
                <xdr:cNvSpPr/>
              </xdr:nvSpPr>
              <xdr:spPr>
                <a:xfrm>
                  <a:off x="4018697" y="2769249"/>
                  <a:ext cx="658368" cy="365760"/>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87451C9-9AAF-4043-84E0-27BB4048F763}" type="TxLink">
                    <a:rPr lang="en-US" sz="800" b="0" i="0" u="none" strike="noStrike">
                      <a:solidFill>
                        <a:schemeClr val="accent1"/>
                      </a:solidFill>
                      <a:latin typeface="Century Gothic"/>
                    </a:rPr>
                    <a:pPr algn="ctr"/>
                    <a:t>All Beds
1,848 - 12.2%</a:t>
                  </a:fld>
                  <a:endParaRPr lang="en-US" sz="300" b="0">
                    <a:solidFill>
                      <a:schemeClr val="accent1"/>
                    </a:solidFill>
                  </a:endParaRPr>
                </a:p>
              </xdr:txBody>
            </xdr:sp>
            <xdr:sp macro="" textlink="Chart!E86">
              <xdr:nvSpPr>
                <xdr:cNvPr id="90" name="Rounded Rectangle 146">
                  <a:extLst>
                    <a:ext uri="{FF2B5EF4-FFF2-40B4-BE49-F238E27FC236}">
                      <a16:creationId xmlns:a16="http://schemas.microsoft.com/office/drawing/2014/main" id="{DF03117F-CE3F-43BF-8385-C5047DF9D359}"/>
                    </a:ext>
                  </a:extLst>
                </xdr:cNvPr>
                <xdr:cNvSpPr/>
              </xdr:nvSpPr>
              <xdr:spPr>
                <a:xfrm>
                  <a:off x="2130070" y="1362075"/>
                  <a:ext cx="960120" cy="459205"/>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887E121-85ED-4C2F-B040-BDC042D359BB}" type="TxLink">
                    <a:rPr lang="en-US" sz="1200" b="1" i="0" u="none" strike="noStrike">
                      <a:solidFill>
                        <a:schemeClr val="bg1"/>
                      </a:solidFill>
                      <a:latin typeface="Century Gothic"/>
                    </a:rPr>
                    <a:pPr algn="ctr"/>
                    <a:t>Total COVID
327</a:t>
                  </a:fld>
                  <a:endParaRPr lang="en-US" sz="1200" b="1">
                    <a:solidFill>
                      <a:schemeClr val="bg1"/>
                    </a:solidFill>
                  </a:endParaRPr>
                </a:p>
              </xdr:txBody>
            </xdr:sp>
            <xdr:sp macro="" textlink="Chart!F72">
              <xdr:nvSpPr>
                <xdr:cNvPr id="91" name="Rounded Rectangle 147">
                  <a:extLst>
                    <a:ext uri="{FF2B5EF4-FFF2-40B4-BE49-F238E27FC236}">
                      <a16:creationId xmlns:a16="http://schemas.microsoft.com/office/drawing/2014/main" id="{0ED3AA5D-C07D-430E-8287-146E8C894344}"/>
                    </a:ext>
                  </a:extLst>
                </xdr:cNvPr>
                <xdr:cNvSpPr/>
              </xdr:nvSpPr>
              <xdr:spPr>
                <a:xfrm>
                  <a:off x="4797918" y="2769249"/>
                  <a:ext cx="640080" cy="36576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7A0501D-AB53-4757-AA09-2957972AFAD8}" type="TxLink">
                    <a:rPr lang="en-US" sz="800" b="0" i="0" u="none" strike="noStrike">
                      <a:solidFill>
                        <a:schemeClr val="bg1">
                          <a:lumMod val="100000"/>
                        </a:schemeClr>
                      </a:solidFill>
                      <a:latin typeface="Century Gothic"/>
                    </a:rPr>
                    <a:pPr algn="ctr"/>
                    <a:t>Max COVID 
302 - 45.0%</a:t>
                  </a:fld>
                  <a:endParaRPr lang="en-US" sz="800" b="0">
                    <a:solidFill>
                      <a:schemeClr val="bg1">
                        <a:lumMod val="100000"/>
                      </a:schemeClr>
                    </a:solidFill>
                  </a:endParaRPr>
                </a:p>
              </xdr:txBody>
            </xdr:sp>
            <xdr:sp macro="" textlink="Chart!F74">
              <xdr:nvSpPr>
                <xdr:cNvPr id="92" name="Rounded Rectangle 148">
                  <a:extLst>
                    <a:ext uri="{FF2B5EF4-FFF2-40B4-BE49-F238E27FC236}">
                      <a16:creationId xmlns:a16="http://schemas.microsoft.com/office/drawing/2014/main" id="{C237ACFD-F412-42CA-AAFA-7FD82B4F1FE7}"/>
                    </a:ext>
                  </a:extLst>
                </xdr:cNvPr>
                <xdr:cNvSpPr/>
              </xdr:nvSpPr>
              <xdr:spPr>
                <a:xfrm>
                  <a:off x="6144428" y="2769249"/>
                  <a:ext cx="658368" cy="365760"/>
                </a:xfrm>
                <a:prstGeom prst="roundRect">
                  <a:avLst/>
                </a:prstGeom>
                <a:solidFill>
                  <a:schemeClr val="bg1"/>
                </a:solidFill>
                <a:ln w="19050">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1303B100-449B-4A1A-AD5F-99EE249B0F5B}" type="TxLink">
                    <a:rPr lang="en-US" sz="800" b="0" i="0" u="none" strike="noStrike">
                      <a:solidFill>
                        <a:schemeClr val="accent5">
                          <a:lumMod val="50000"/>
                        </a:schemeClr>
                      </a:solidFill>
                      <a:latin typeface="Century Gothic"/>
                    </a:rPr>
                    <a:pPr algn="ctr"/>
                    <a:t>All Beds
677 - 20.1%</a:t>
                  </a:fld>
                  <a:endParaRPr lang="en-US" sz="300" b="0">
                    <a:solidFill>
                      <a:schemeClr val="accent5">
                        <a:lumMod val="50000"/>
                      </a:schemeClr>
                    </a:solidFill>
                  </a:endParaRPr>
                </a:p>
              </xdr:txBody>
            </xdr:sp>
            <xdr:sp macro="" textlink="Chart!F83">
              <xdr:nvSpPr>
                <xdr:cNvPr id="93" name="Rounded Rectangle 149">
                  <a:extLst>
                    <a:ext uri="{FF2B5EF4-FFF2-40B4-BE49-F238E27FC236}">
                      <a16:creationId xmlns:a16="http://schemas.microsoft.com/office/drawing/2014/main" id="{D4E673C8-31FC-4F88-8719-7072020E1369}"/>
                    </a:ext>
                  </a:extLst>
                </xdr:cNvPr>
                <xdr:cNvSpPr/>
              </xdr:nvSpPr>
              <xdr:spPr>
                <a:xfrm>
                  <a:off x="6930049" y="2769249"/>
                  <a:ext cx="640080" cy="36576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8CE6F82-48ED-457B-AC3A-5AD588D1880A}" type="TxLink">
                    <a:rPr lang="en-US" sz="800" b="0" i="0" u="none" strike="noStrike">
                      <a:solidFill>
                        <a:schemeClr val="bg1">
                          <a:lumMod val="100000"/>
                        </a:schemeClr>
                      </a:solidFill>
                      <a:latin typeface="Century Gothic"/>
                    </a:rPr>
                    <a:pPr algn="ctr"/>
                    <a:t>Max COVID 
744 - 47.0%</a:t>
                  </a:fld>
                  <a:endParaRPr lang="en-US" sz="800" b="0">
                    <a:solidFill>
                      <a:schemeClr val="bg1">
                        <a:lumMod val="100000"/>
                      </a:schemeClr>
                    </a:solidFill>
                  </a:endParaRPr>
                </a:p>
              </xdr:txBody>
            </xdr:sp>
            <xdr:sp macro="" textlink="Chart!F85">
              <xdr:nvSpPr>
                <xdr:cNvPr id="94" name="Rounded Rectangle 150">
                  <a:extLst>
                    <a:ext uri="{FF2B5EF4-FFF2-40B4-BE49-F238E27FC236}">
                      <a16:creationId xmlns:a16="http://schemas.microsoft.com/office/drawing/2014/main" id="{F86B02E8-031A-4F80-9348-7629280ED62E}"/>
                    </a:ext>
                  </a:extLst>
                </xdr:cNvPr>
                <xdr:cNvSpPr/>
              </xdr:nvSpPr>
              <xdr:spPr>
                <a:xfrm>
                  <a:off x="8264419" y="2769249"/>
                  <a:ext cx="658368" cy="365760"/>
                </a:xfrm>
                <a:prstGeom prst="roundRect">
                  <a:avLst/>
                </a:prstGeom>
                <a:solidFill>
                  <a:schemeClr val="bg1"/>
                </a:solidFill>
                <a:ln w="19050">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E7F9522-380D-444C-A047-81537B00251A}" type="TxLink">
                    <a:rPr lang="en-US" sz="800" b="0" i="0" u="none" strike="noStrike">
                      <a:solidFill>
                        <a:schemeClr val="accent5"/>
                      </a:solidFill>
                      <a:latin typeface="Century Gothic"/>
                    </a:rPr>
                    <a:pPr algn="ctr"/>
                    <a:t>All Beds
1,848 - 18.9%</a:t>
                  </a:fld>
                  <a:endParaRPr lang="en-US" sz="100" b="0">
                    <a:solidFill>
                      <a:schemeClr val="accent5"/>
                    </a:solidFill>
                  </a:endParaRPr>
                </a:p>
              </xdr:txBody>
            </xdr:sp>
            <xdr:sp macro="" textlink="Chart!G72">
              <xdr:nvSpPr>
                <xdr:cNvPr id="95" name="Rounded Rectangle 151">
                  <a:extLst>
                    <a:ext uri="{FF2B5EF4-FFF2-40B4-BE49-F238E27FC236}">
                      <a16:creationId xmlns:a16="http://schemas.microsoft.com/office/drawing/2014/main" id="{6C4D8FFE-4876-4AC4-BF0E-947E4B5E7C4A}"/>
                    </a:ext>
                  </a:extLst>
                </xdr:cNvPr>
                <xdr:cNvSpPr/>
              </xdr:nvSpPr>
              <xdr:spPr>
                <a:xfrm>
                  <a:off x="9034370" y="2769249"/>
                  <a:ext cx="640080" cy="36576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91F482E-4DB3-432E-8FC3-C6720FEE32AA}" type="TxLink">
                    <a:rPr lang="en-US" sz="800" b="0" i="0" u="none" strike="noStrike">
                      <a:solidFill>
                        <a:schemeClr val="bg1">
                          <a:lumMod val="100000"/>
                        </a:schemeClr>
                      </a:solidFill>
                      <a:latin typeface="Century Gothic"/>
                    </a:rPr>
                    <a:pPr algn="ctr"/>
                    <a:t>Max COVID 
302 - 80.1%</a:t>
                  </a:fld>
                  <a:endParaRPr lang="en-US" sz="800" b="0">
                    <a:solidFill>
                      <a:schemeClr val="bg1">
                        <a:lumMod val="100000"/>
                      </a:schemeClr>
                    </a:solidFill>
                  </a:endParaRPr>
                </a:p>
              </xdr:txBody>
            </xdr:sp>
            <xdr:sp macro="" textlink="Chart!G74">
              <xdr:nvSpPr>
                <xdr:cNvPr id="96" name="Rounded Rectangle 152">
                  <a:extLst>
                    <a:ext uri="{FF2B5EF4-FFF2-40B4-BE49-F238E27FC236}">
                      <a16:creationId xmlns:a16="http://schemas.microsoft.com/office/drawing/2014/main" id="{F74D09DD-6D9C-4919-9ED0-B8CA0C7AD21A}"/>
                    </a:ext>
                  </a:extLst>
                </xdr:cNvPr>
                <xdr:cNvSpPr/>
              </xdr:nvSpPr>
              <xdr:spPr>
                <a:xfrm>
                  <a:off x="10400430" y="2769249"/>
                  <a:ext cx="658368" cy="365760"/>
                </a:xfrm>
                <a:prstGeom prst="roundRect">
                  <a:avLst/>
                </a:prstGeom>
                <a:solidFill>
                  <a:schemeClr val="bg1"/>
                </a:solidFill>
                <a:ln w="1905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ED03DB6-8390-48CD-9201-1CDBA046028E}" type="TxLink">
                    <a:rPr lang="en-US" sz="800" b="0" i="0" u="none" strike="noStrike">
                      <a:solidFill>
                        <a:schemeClr val="accent6">
                          <a:lumMod val="75000"/>
                        </a:schemeClr>
                      </a:solidFill>
                      <a:latin typeface="Century Gothic"/>
                    </a:rPr>
                    <a:pPr algn="ctr"/>
                    <a:t>All Beds
677 - 35.7%</a:t>
                  </a:fld>
                  <a:endParaRPr lang="en-US" sz="300" b="0">
                    <a:solidFill>
                      <a:schemeClr val="accent6">
                        <a:lumMod val="75000"/>
                      </a:schemeClr>
                    </a:solidFill>
                  </a:endParaRPr>
                </a:p>
              </xdr:txBody>
            </xdr:sp>
            <xdr:sp macro="" textlink="Chart!G83">
              <xdr:nvSpPr>
                <xdr:cNvPr id="97" name="Rounded Rectangle 153">
                  <a:extLst>
                    <a:ext uri="{FF2B5EF4-FFF2-40B4-BE49-F238E27FC236}">
                      <a16:creationId xmlns:a16="http://schemas.microsoft.com/office/drawing/2014/main" id="{0AE5731F-B80B-45C2-9C38-FF0DC92C6428}"/>
                    </a:ext>
                  </a:extLst>
                </xdr:cNvPr>
                <xdr:cNvSpPr/>
              </xdr:nvSpPr>
              <xdr:spPr>
                <a:xfrm>
                  <a:off x="11166501" y="2769249"/>
                  <a:ext cx="640080" cy="36576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0A908FD-ED68-40C3-AE1E-6739950A0A92}" type="TxLink">
                    <a:rPr lang="en-US" sz="800" b="0" i="0" u="none" strike="noStrike">
                      <a:solidFill>
                        <a:schemeClr val="bg1">
                          <a:lumMod val="100000"/>
                        </a:schemeClr>
                      </a:solidFill>
                      <a:latin typeface="Century Gothic"/>
                    </a:rPr>
                    <a:pPr algn="ctr"/>
                    <a:t>Max COVID 
744 - 63.7%</a:t>
                  </a:fld>
                  <a:endParaRPr lang="en-US" sz="800" b="0">
                    <a:solidFill>
                      <a:schemeClr val="bg1">
                        <a:lumMod val="100000"/>
                      </a:schemeClr>
                    </a:solidFill>
                  </a:endParaRPr>
                </a:p>
              </xdr:txBody>
            </xdr:sp>
            <xdr:sp macro="" textlink="Chart!G85">
              <xdr:nvSpPr>
                <xdr:cNvPr id="98" name="Rounded Rectangle 154">
                  <a:extLst>
                    <a:ext uri="{FF2B5EF4-FFF2-40B4-BE49-F238E27FC236}">
                      <a16:creationId xmlns:a16="http://schemas.microsoft.com/office/drawing/2014/main" id="{3FE476B6-23FA-4E51-8D38-7D077138AE61}"/>
                    </a:ext>
                  </a:extLst>
                </xdr:cNvPr>
                <xdr:cNvSpPr/>
              </xdr:nvSpPr>
              <xdr:spPr>
                <a:xfrm>
                  <a:off x="12515493" y="2769249"/>
                  <a:ext cx="658368" cy="365760"/>
                </a:xfrm>
                <a:prstGeom prst="roundRect">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B8468DB-C66C-4F44-AFBD-CAA01CF75081}" type="TxLink">
                    <a:rPr lang="en-US" sz="800" b="0" i="0" u="none" strike="noStrike">
                      <a:solidFill>
                        <a:schemeClr val="accent6"/>
                      </a:solidFill>
                      <a:latin typeface="Century Gothic"/>
                    </a:rPr>
                    <a:pPr algn="ctr"/>
                    <a:t>All Beds
1,848 - 25.6%</a:t>
                  </a:fld>
                  <a:endParaRPr lang="en-US" sz="100" b="0">
                    <a:solidFill>
                      <a:schemeClr val="accent6"/>
                    </a:solidFill>
                  </a:endParaRPr>
                </a:p>
              </xdr:txBody>
            </xdr:sp>
            <xdr:sp macro="" textlink="Chart!H72">
              <xdr:nvSpPr>
                <xdr:cNvPr id="99" name="Rounded Rectangle 155">
                  <a:extLst>
                    <a:ext uri="{FF2B5EF4-FFF2-40B4-BE49-F238E27FC236}">
                      <a16:creationId xmlns:a16="http://schemas.microsoft.com/office/drawing/2014/main" id="{C6E085D0-4CAE-43DB-9B2E-32D3067F994A}"/>
                    </a:ext>
                  </a:extLst>
                </xdr:cNvPr>
                <xdr:cNvSpPr/>
              </xdr:nvSpPr>
              <xdr:spPr>
                <a:xfrm>
                  <a:off x="13298633" y="2769249"/>
                  <a:ext cx="640080" cy="36576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15EBE1F-61AB-4EF5-BF7C-302FA2E0FAB0}" type="TxLink">
                    <a:rPr lang="en-US" sz="800" b="0" i="0" u="none" strike="noStrike">
                      <a:solidFill>
                        <a:schemeClr val="bg1">
                          <a:lumMod val="100000"/>
                        </a:schemeClr>
                      </a:solidFill>
                      <a:latin typeface="Century Gothic"/>
                    </a:rPr>
                    <a:pPr algn="ctr"/>
                    <a:t>Max COVID 
302 - 126.8%</a:t>
                  </a:fld>
                  <a:endParaRPr lang="en-US" sz="800" b="0">
                    <a:solidFill>
                      <a:schemeClr val="bg1">
                        <a:lumMod val="100000"/>
                      </a:schemeClr>
                    </a:solidFill>
                  </a:endParaRPr>
                </a:p>
              </xdr:txBody>
            </xdr:sp>
            <xdr:sp macro="" textlink="Chart!H74">
              <xdr:nvSpPr>
                <xdr:cNvPr id="100" name="Rounded Rectangle 156">
                  <a:extLst>
                    <a:ext uri="{FF2B5EF4-FFF2-40B4-BE49-F238E27FC236}">
                      <a16:creationId xmlns:a16="http://schemas.microsoft.com/office/drawing/2014/main" id="{69A5DAFC-CC9D-4BA3-9E27-CCE32BB86E35}"/>
                    </a:ext>
                  </a:extLst>
                </xdr:cNvPr>
                <xdr:cNvSpPr/>
              </xdr:nvSpPr>
              <xdr:spPr>
                <a:xfrm>
                  <a:off x="14647624" y="2769249"/>
                  <a:ext cx="658368" cy="365760"/>
                </a:xfrm>
                <a:prstGeom prst="roundRect">
                  <a:avLst/>
                </a:prstGeom>
                <a:solidFill>
                  <a:schemeClr val="bg1"/>
                </a:solidFill>
                <a:ln w="19050">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E5008038-6C93-45B5-965B-BDB7C9904F6C}" type="TxLink">
                    <a:rPr lang="en-US" sz="800" b="0" i="0" u="none" strike="noStrike">
                      <a:solidFill>
                        <a:schemeClr val="accent4">
                          <a:lumMod val="50000"/>
                        </a:schemeClr>
                      </a:solidFill>
                      <a:latin typeface="Century Gothic"/>
                    </a:rPr>
                    <a:pPr algn="ctr"/>
                    <a:t>All Beds
677 - 56.6%</a:t>
                  </a:fld>
                  <a:endParaRPr lang="en-US" sz="100" b="0">
                    <a:solidFill>
                      <a:schemeClr val="accent4">
                        <a:lumMod val="50000"/>
                      </a:schemeClr>
                    </a:solidFill>
                  </a:endParaRPr>
                </a:p>
              </xdr:txBody>
            </xdr:sp>
            <xdr:sp macro="" textlink="Chart!H83">
              <xdr:nvSpPr>
                <xdr:cNvPr id="101" name="Rounded Rectangle 157">
                  <a:extLst>
                    <a:ext uri="{FF2B5EF4-FFF2-40B4-BE49-F238E27FC236}">
                      <a16:creationId xmlns:a16="http://schemas.microsoft.com/office/drawing/2014/main" id="{20249499-CAC2-4C49-BED6-3348E8A588AB}"/>
                    </a:ext>
                  </a:extLst>
                </xdr:cNvPr>
                <xdr:cNvSpPr/>
              </xdr:nvSpPr>
              <xdr:spPr>
                <a:xfrm>
                  <a:off x="15401490" y="2769249"/>
                  <a:ext cx="640080" cy="36576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9A79A74-5A7A-42AF-9674-AC80D42E2F54}" type="TxLink">
                    <a:rPr lang="en-US" sz="800" b="0" i="0" u="none" strike="noStrike">
                      <a:solidFill>
                        <a:schemeClr val="bg1">
                          <a:lumMod val="100000"/>
                        </a:schemeClr>
                      </a:solidFill>
                      <a:latin typeface="Century Gothic"/>
                    </a:rPr>
                    <a:pPr algn="ctr"/>
                    <a:t>Max COVID 
744 - 102.3%</a:t>
                  </a:fld>
                  <a:endParaRPr lang="en-US" sz="800" b="0">
                    <a:solidFill>
                      <a:schemeClr val="bg1">
                        <a:lumMod val="100000"/>
                      </a:schemeClr>
                    </a:solidFill>
                  </a:endParaRPr>
                </a:p>
              </xdr:txBody>
            </xdr:sp>
            <xdr:sp macro="" textlink="Chart!H85">
              <xdr:nvSpPr>
                <xdr:cNvPr id="102" name="Rounded Rectangle 158">
                  <a:extLst>
                    <a:ext uri="{FF2B5EF4-FFF2-40B4-BE49-F238E27FC236}">
                      <a16:creationId xmlns:a16="http://schemas.microsoft.com/office/drawing/2014/main" id="{07A51CBE-992A-41A7-99AF-9BDBCCC48953}"/>
                    </a:ext>
                  </a:extLst>
                </xdr:cNvPr>
                <xdr:cNvSpPr/>
              </xdr:nvSpPr>
              <xdr:spPr>
                <a:xfrm>
                  <a:off x="16765134" y="2769249"/>
                  <a:ext cx="658368" cy="365760"/>
                </a:xfrm>
                <a:prstGeom prst="roundRect">
                  <a:avLst/>
                </a:prstGeom>
                <a:solidFill>
                  <a:schemeClr val="bg1"/>
                </a:solidFill>
                <a:ln w="19050">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E14777E-5876-4A4D-8AED-C681D0721C01}" type="TxLink">
                    <a:rPr lang="en-US" sz="800" b="0" i="0" u="none" strike="noStrike">
                      <a:solidFill>
                        <a:schemeClr val="accent4"/>
                      </a:solidFill>
                      <a:latin typeface="Century Gothic"/>
                    </a:rPr>
                    <a:pPr algn="ctr"/>
                    <a:t>All Beds
1,848 - 18.9%</a:t>
                  </a:fld>
                  <a:endParaRPr lang="en-US" sz="100" b="0">
                    <a:solidFill>
                      <a:schemeClr val="accent4"/>
                    </a:solidFill>
                  </a:endParaRPr>
                </a:p>
              </xdr:txBody>
            </xdr:sp>
            <xdr:sp macro="" textlink="Chart!F71">
              <xdr:nvSpPr>
                <xdr:cNvPr id="103" name="Rounded Rectangle 159">
                  <a:extLst>
                    <a:ext uri="{FF2B5EF4-FFF2-40B4-BE49-F238E27FC236}">
                      <a16:creationId xmlns:a16="http://schemas.microsoft.com/office/drawing/2014/main" id="{52FBC097-944F-4E6B-870D-D3272B7CA31A}"/>
                    </a:ext>
                  </a:extLst>
                </xdr:cNvPr>
                <xdr:cNvSpPr/>
              </xdr:nvSpPr>
              <xdr:spPr>
                <a:xfrm>
                  <a:off x="5456097" y="1362075"/>
                  <a:ext cx="711946" cy="228600"/>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75E880F-775D-4FB2-8494-F5AAC9FB5946}" type="TxLink">
                    <a:rPr lang="en-US" sz="1400" b="1" i="0" u="none" strike="noStrike">
                      <a:solidFill>
                        <a:schemeClr val="bg1"/>
                      </a:solidFill>
                      <a:latin typeface="Century Gothic"/>
                    </a:rPr>
                    <a:pPr algn="ctr"/>
                    <a:t>136</a:t>
                  </a:fld>
                  <a:endParaRPr lang="en-US" sz="4000" b="1">
                    <a:solidFill>
                      <a:schemeClr val="bg1"/>
                    </a:solidFill>
                  </a:endParaRPr>
                </a:p>
              </xdr:txBody>
            </xdr:sp>
            <xdr:sp macro="" textlink="Chart!F82">
              <xdr:nvSpPr>
                <xdr:cNvPr id="104" name="Rounded Rectangle 160">
                  <a:extLst>
                    <a:ext uri="{FF2B5EF4-FFF2-40B4-BE49-F238E27FC236}">
                      <a16:creationId xmlns:a16="http://schemas.microsoft.com/office/drawing/2014/main" id="{EAEB4FC7-CB4F-468F-AD7E-97D8BE27B571}"/>
                    </a:ext>
                  </a:extLst>
                </xdr:cNvPr>
                <xdr:cNvSpPr/>
              </xdr:nvSpPr>
              <xdr:spPr>
                <a:xfrm>
                  <a:off x="7578959" y="1362075"/>
                  <a:ext cx="711946" cy="228600"/>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CE2CE36-E177-4FA7-80B9-5660597C129F}" type="TxLink">
                    <a:rPr lang="en-US" sz="1400" b="1" i="0" u="none" strike="noStrike">
                      <a:solidFill>
                        <a:schemeClr val="bg1">
                          <a:lumMod val="100000"/>
                        </a:schemeClr>
                      </a:solidFill>
                      <a:latin typeface="Century Gothic"/>
                    </a:rPr>
                    <a:pPr algn="ctr"/>
                    <a:t>350</a:t>
                  </a:fld>
                  <a:endParaRPr lang="en-US" sz="1400" b="1">
                    <a:solidFill>
                      <a:schemeClr val="bg1">
                        <a:lumMod val="100000"/>
                      </a:schemeClr>
                    </a:solidFill>
                  </a:endParaRPr>
                </a:p>
              </xdr:txBody>
            </xdr:sp>
            <xdr:sp macro="" textlink="Chart!G71">
              <xdr:nvSpPr>
                <xdr:cNvPr id="105" name="Rounded Rectangle 161">
                  <a:extLst>
                    <a:ext uri="{FF2B5EF4-FFF2-40B4-BE49-F238E27FC236}">
                      <a16:creationId xmlns:a16="http://schemas.microsoft.com/office/drawing/2014/main" id="{E15E910F-EF52-4E78-9036-6B0CAE41981F}"/>
                    </a:ext>
                  </a:extLst>
                </xdr:cNvPr>
                <xdr:cNvSpPr/>
              </xdr:nvSpPr>
              <xdr:spPr>
                <a:xfrm>
                  <a:off x="9701820" y="1362075"/>
                  <a:ext cx="711946" cy="22860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017EB6F-F1D3-433D-B986-E40B559E5BAA}" type="TxLink">
                    <a:rPr lang="en-US" sz="1400" b="1" i="0" u="none" strike="noStrike">
                      <a:solidFill>
                        <a:schemeClr val="bg1">
                          <a:lumMod val="100000"/>
                        </a:schemeClr>
                      </a:solidFill>
                      <a:latin typeface="Century Gothic"/>
                    </a:rPr>
                    <a:pPr algn="ctr"/>
                    <a:t>242</a:t>
                  </a:fld>
                  <a:endParaRPr lang="en-US" sz="1400" b="1">
                    <a:solidFill>
                      <a:schemeClr val="bg1">
                        <a:lumMod val="100000"/>
                      </a:schemeClr>
                    </a:solidFill>
                  </a:endParaRPr>
                </a:p>
              </xdr:txBody>
            </xdr:sp>
            <xdr:sp macro="" textlink="Chart!G82">
              <xdr:nvSpPr>
                <xdr:cNvPr id="106" name="Rounded Rectangle 162">
                  <a:extLst>
                    <a:ext uri="{FF2B5EF4-FFF2-40B4-BE49-F238E27FC236}">
                      <a16:creationId xmlns:a16="http://schemas.microsoft.com/office/drawing/2014/main" id="{71C60E52-B749-4723-A20C-BBD6E5AEA250}"/>
                    </a:ext>
                  </a:extLst>
                </xdr:cNvPr>
                <xdr:cNvSpPr/>
              </xdr:nvSpPr>
              <xdr:spPr>
                <a:xfrm>
                  <a:off x="11824681" y="1362075"/>
                  <a:ext cx="711946" cy="228600"/>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F86D8BC-393F-423C-A4CF-80D34BAA1A33}" type="TxLink">
                    <a:rPr lang="en-US" sz="1400" b="1" i="0" u="none" strike="noStrike">
                      <a:solidFill>
                        <a:schemeClr val="bg1">
                          <a:lumMod val="100000"/>
                        </a:schemeClr>
                      </a:solidFill>
                      <a:latin typeface="Century Gothic"/>
                    </a:rPr>
                    <a:pPr algn="ctr"/>
                    <a:t>474</a:t>
                  </a:fld>
                  <a:endParaRPr lang="en-US" sz="1400" b="1">
                    <a:solidFill>
                      <a:schemeClr val="bg1">
                        <a:lumMod val="100000"/>
                      </a:schemeClr>
                    </a:solidFill>
                  </a:endParaRPr>
                </a:p>
              </xdr:txBody>
            </xdr:sp>
            <xdr:sp macro="" textlink="Chart!H71">
              <xdr:nvSpPr>
                <xdr:cNvPr id="107" name="Rounded Rectangle 163">
                  <a:extLst>
                    <a:ext uri="{FF2B5EF4-FFF2-40B4-BE49-F238E27FC236}">
                      <a16:creationId xmlns:a16="http://schemas.microsoft.com/office/drawing/2014/main" id="{8DFA438C-FD9F-422A-A5EC-5FAA17CABC2D}"/>
                    </a:ext>
                  </a:extLst>
                </xdr:cNvPr>
                <xdr:cNvSpPr/>
              </xdr:nvSpPr>
              <xdr:spPr>
                <a:xfrm>
                  <a:off x="13947542" y="1362075"/>
                  <a:ext cx="711946" cy="228600"/>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F934887-2955-45EC-ADF8-61B32E629E04}" type="TxLink">
                    <a:rPr lang="en-US" sz="1400" b="1" i="0" u="none" strike="noStrike">
                      <a:solidFill>
                        <a:schemeClr val="bg1">
                          <a:lumMod val="100000"/>
                        </a:schemeClr>
                      </a:solidFill>
                      <a:latin typeface="Century Gothic"/>
                    </a:rPr>
                    <a:pPr algn="ctr"/>
                    <a:t>383</a:t>
                  </a:fld>
                  <a:endParaRPr lang="en-US" sz="1400" b="1">
                    <a:solidFill>
                      <a:schemeClr val="bg1">
                        <a:lumMod val="100000"/>
                      </a:schemeClr>
                    </a:solidFill>
                  </a:endParaRPr>
                </a:p>
              </xdr:txBody>
            </xdr:sp>
            <xdr:sp macro="" textlink="Chart!H82">
              <xdr:nvSpPr>
                <xdr:cNvPr id="108" name="Rounded Rectangle 164">
                  <a:extLst>
                    <a:ext uri="{FF2B5EF4-FFF2-40B4-BE49-F238E27FC236}">
                      <a16:creationId xmlns:a16="http://schemas.microsoft.com/office/drawing/2014/main" id="{44226847-E54A-4894-B433-2FF1A97D3C9D}"/>
                    </a:ext>
                  </a:extLst>
                </xdr:cNvPr>
                <xdr:cNvSpPr/>
              </xdr:nvSpPr>
              <xdr:spPr>
                <a:xfrm>
                  <a:off x="16070404" y="1362075"/>
                  <a:ext cx="711946" cy="228600"/>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D6197B9-CCB0-475F-933A-CB92310F72B2}" type="TxLink">
                    <a:rPr lang="en-US" sz="1400" b="1" i="0" u="none" strike="noStrike">
                      <a:solidFill>
                        <a:schemeClr val="bg1">
                          <a:lumMod val="100000"/>
                        </a:schemeClr>
                      </a:solidFill>
                      <a:latin typeface="Century Gothic"/>
                    </a:rPr>
                    <a:pPr algn="ctr"/>
                    <a:t>761</a:t>
                  </a:fld>
                  <a:endParaRPr lang="en-US" sz="1400" b="1">
                    <a:solidFill>
                      <a:schemeClr val="bg1">
                        <a:lumMod val="100000"/>
                      </a:schemeClr>
                    </a:solidFill>
                  </a:endParaRPr>
                </a:p>
              </xdr:txBody>
            </xdr:sp>
            <xdr:sp macro="" textlink="Chart!F86">
              <xdr:nvSpPr>
                <xdr:cNvPr id="109" name="Rounded Rectangle 165">
                  <a:extLst>
                    <a:ext uri="{FF2B5EF4-FFF2-40B4-BE49-F238E27FC236}">
                      <a16:creationId xmlns:a16="http://schemas.microsoft.com/office/drawing/2014/main" id="{886DED28-AD6A-4FA5-8516-826612F2BFC2}"/>
                    </a:ext>
                  </a:extLst>
                </xdr:cNvPr>
                <xdr:cNvSpPr/>
              </xdr:nvSpPr>
              <xdr:spPr>
                <a:xfrm>
                  <a:off x="6386040" y="1362075"/>
                  <a:ext cx="960120" cy="459205"/>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8D019EA-859E-4DDD-BEC5-8D288D315BA4}" type="TxLink">
                    <a:rPr lang="en-US" sz="1200" b="1" i="0" u="none" strike="noStrike">
                      <a:solidFill>
                        <a:schemeClr val="bg1"/>
                      </a:solidFill>
                      <a:latin typeface="Century Gothic"/>
                    </a:rPr>
                    <a:pPr algn="ctr"/>
                    <a:t>Total COVID
486</a:t>
                  </a:fld>
                  <a:endParaRPr lang="en-US" sz="1200" b="1">
                    <a:solidFill>
                      <a:schemeClr val="bg1"/>
                    </a:solidFill>
                  </a:endParaRPr>
                </a:p>
              </xdr:txBody>
            </xdr:sp>
            <xdr:sp macro="" textlink="Chart!G86">
              <xdr:nvSpPr>
                <xdr:cNvPr id="110" name="Rounded Rectangle 167">
                  <a:extLst>
                    <a:ext uri="{FF2B5EF4-FFF2-40B4-BE49-F238E27FC236}">
                      <a16:creationId xmlns:a16="http://schemas.microsoft.com/office/drawing/2014/main" id="{ABFD3785-5481-4A58-91C2-6D640D87F832}"/>
                    </a:ext>
                  </a:extLst>
                </xdr:cNvPr>
                <xdr:cNvSpPr/>
              </xdr:nvSpPr>
              <xdr:spPr>
                <a:xfrm>
                  <a:off x="10589077" y="1362075"/>
                  <a:ext cx="960120" cy="459205"/>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6D50A89-4402-4683-9BA9-E049B63FEEF0}" type="TxLink">
                    <a:rPr lang="en-US" sz="1200" b="1" i="0" u="none" strike="noStrike">
                      <a:solidFill>
                        <a:schemeClr val="bg1"/>
                      </a:solidFill>
                      <a:latin typeface="Century Gothic"/>
                    </a:rPr>
                    <a:pPr algn="ctr"/>
                    <a:t>Total COVID
716</a:t>
                  </a:fld>
                  <a:endParaRPr lang="en-US" sz="1200" b="1">
                    <a:solidFill>
                      <a:schemeClr val="bg1"/>
                    </a:solidFill>
                  </a:endParaRPr>
                </a:p>
              </xdr:txBody>
            </xdr:sp>
            <xdr:sp macro="" textlink="Chart!H86">
              <xdr:nvSpPr>
                <xdr:cNvPr id="111" name="Rounded Rectangle 168">
                  <a:extLst>
                    <a:ext uri="{FF2B5EF4-FFF2-40B4-BE49-F238E27FC236}">
                      <a16:creationId xmlns:a16="http://schemas.microsoft.com/office/drawing/2014/main" id="{FA837358-0B03-434E-BB26-7ADE6E1DBD55}"/>
                    </a:ext>
                  </a:extLst>
                </xdr:cNvPr>
                <xdr:cNvSpPr/>
              </xdr:nvSpPr>
              <xdr:spPr>
                <a:xfrm>
                  <a:off x="14855971" y="1362075"/>
                  <a:ext cx="960120" cy="459205"/>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6F7E763-D82A-4D23-897D-AE67D7FEDB79}" type="TxLink">
                    <a:rPr lang="en-US" sz="1200" b="1" i="0" u="none" strike="noStrike">
                      <a:solidFill>
                        <a:schemeClr val="bg1"/>
                      </a:solidFill>
                      <a:latin typeface="Century Gothic"/>
                    </a:rPr>
                    <a:pPr algn="ctr"/>
                    <a:t>Total COVID
1,144</a:t>
                  </a:fld>
                  <a:endParaRPr lang="en-US" sz="1200" b="1">
                    <a:solidFill>
                      <a:schemeClr val="bg1"/>
                    </a:solidFill>
                  </a:endParaRPr>
                </a:p>
              </xdr:txBody>
            </xdr:sp>
          </xdr:grpSp>
        </xdr:grpSp>
        <mc:AlternateContent xmlns:mc="http://schemas.openxmlformats.org/markup-compatibility/2006" xmlns:a14="http://schemas.microsoft.com/office/drawing/2010/main">
          <mc:Choice Requires="a14">
            <xdr:pic>
              <xdr:nvPicPr>
                <xdr:cNvPr id="271" name="Picture 270">
                  <a:extLst>
                    <a:ext uri="{FF2B5EF4-FFF2-40B4-BE49-F238E27FC236}">
                      <a16:creationId xmlns:a16="http://schemas.microsoft.com/office/drawing/2014/main" id="{8EDAC7A7-8CFC-4E24-8DE1-35610252E706}"/>
                    </a:ext>
                  </a:extLst>
                </xdr:cNvPr>
                <xdr:cNvPicPr>
                  <a:picLocks noChangeAspect="1" noChangeArrowheads="1"/>
                  <a:extLst>
                    <a:ext uri="{84589F7E-364E-4C9E-8A38-B11213B215E9}">
                      <a14:cameraTool cellRange="Labels!$A$1" spid="_x0000_s6260"/>
                    </a:ext>
                  </a:extLst>
                </xdr:cNvPicPr>
              </xdr:nvPicPr>
              <xdr:blipFill>
                <a:blip xmlns:r="http://schemas.openxmlformats.org/officeDocument/2006/relationships" r:embed="rId55"/>
                <a:srcRect/>
                <a:stretch>
                  <a:fillRect/>
                </a:stretch>
              </xdr:blipFill>
              <xdr:spPr bwMode="auto">
                <a:xfrm>
                  <a:off x="112938" y="2122715"/>
                  <a:ext cx="321541" cy="1328057"/>
                </a:xfrm>
                <a:prstGeom prst="roundRect">
                  <a:avLst>
                    <a:gd name="adj" fmla="val 16667"/>
                  </a:avLst>
                </a:prstGeom>
                <a:ln>
                  <a:noFill/>
                </a:ln>
                <a:effectLst>
                  <a:outerShdw blurRad="50800" dist="38100" dir="2700000" algn="tl" rotWithShape="0">
                    <a:prstClr val="black">
                      <a:alpha val="42000"/>
                    </a:prst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mc:Choice>
          <mc:Fallback xmlns=""/>
        </mc:AlternateContent>
      </xdr:grpSp>
      <xdr:sp macro="" textlink="Chart!E73">
        <xdr:nvSpPr>
          <xdr:cNvPr id="507" name="Rounded Rectangle 142">
            <a:extLst>
              <a:ext uri="{FF2B5EF4-FFF2-40B4-BE49-F238E27FC236}">
                <a16:creationId xmlns:a16="http://schemas.microsoft.com/office/drawing/2014/main" id="{D565D1C6-8303-4383-9066-0A97C372FD05}"/>
              </a:ext>
            </a:extLst>
          </xdr:cNvPr>
          <xdr:cNvSpPr/>
        </xdr:nvSpPr>
        <xdr:spPr>
          <a:xfrm>
            <a:off x="1230568" y="3225977"/>
            <a:ext cx="641548" cy="346700"/>
          </a:xfrm>
          <a:prstGeom prst="roundRect">
            <a:avLst/>
          </a:prstGeom>
          <a:pattFill prst="pct5">
            <a:fgClr>
              <a:schemeClr val="accent1">
                <a:lumMod val="50000"/>
              </a:schemeClr>
            </a:fgClr>
            <a:bgClr>
              <a:schemeClr val="bg1"/>
            </a:bgClr>
          </a:patt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91C1FEF-AC26-42AB-AC60-09FCB6701AE0}" type="TxLink">
              <a:rPr lang="en-US" sz="800" b="0" i="0" u="none" strike="noStrike">
                <a:solidFill>
                  <a:srgbClr val="000000"/>
                </a:solidFill>
                <a:latin typeface="Century Gothic"/>
              </a:rPr>
              <a:pPr algn="ctr"/>
              <a:t>Crisis COVID 
429 - 23.8%</a:t>
            </a:fld>
            <a:endParaRPr lang="en-US" sz="500" b="0">
              <a:solidFill>
                <a:schemeClr val="bg1"/>
              </a:solidFill>
            </a:endParaRPr>
          </a:p>
        </xdr:txBody>
      </xdr:sp>
      <xdr:sp macro="" textlink="Chart!E84">
        <xdr:nvSpPr>
          <xdr:cNvPr id="508" name="Rounded Rectangle 144">
            <a:extLst>
              <a:ext uri="{FF2B5EF4-FFF2-40B4-BE49-F238E27FC236}">
                <a16:creationId xmlns:a16="http://schemas.microsoft.com/office/drawing/2014/main" id="{1AD7EB80-3C7F-4E92-8471-28A079F4EA91}"/>
              </a:ext>
            </a:extLst>
          </xdr:cNvPr>
          <xdr:cNvSpPr/>
        </xdr:nvSpPr>
        <xdr:spPr>
          <a:xfrm>
            <a:off x="3343335" y="3225977"/>
            <a:ext cx="641548" cy="346700"/>
          </a:xfrm>
          <a:prstGeom prst="roundRect">
            <a:avLst/>
          </a:prstGeom>
          <a:pattFill prst="pct5">
            <a:fgClr>
              <a:schemeClr val="accent1">
                <a:lumMod val="50000"/>
              </a:schemeClr>
            </a:fgClr>
            <a:bgClr>
              <a:schemeClr val="bg1"/>
            </a:bgClr>
          </a:patt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AFC889C-B35C-4536-A497-7EDBEA8331EA}" type="TxLink">
              <a:rPr lang="en-US" sz="800" b="0" i="0" u="none" strike="noStrike">
                <a:solidFill>
                  <a:schemeClr val="accent1"/>
                </a:solidFill>
                <a:latin typeface="Century Gothic"/>
              </a:rPr>
              <a:pPr algn="ctr"/>
              <a:t>Crisis COVID 
882 - 25.5%</a:t>
            </a:fld>
            <a:endParaRPr lang="en-US" sz="100" b="0">
              <a:solidFill>
                <a:schemeClr val="accent1"/>
              </a:solidFill>
            </a:endParaRPr>
          </a:p>
        </xdr:txBody>
      </xdr:sp>
      <xdr:sp macro="" textlink="Chart!F73">
        <xdr:nvSpPr>
          <xdr:cNvPr id="510" name="Rounded Rectangle 147">
            <a:extLst>
              <a:ext uri="{FF2B5EF4-FFF2-40B4-BE49-F238E27FC236}">
                <a16:creationId xmlns:a16="http://schemas.microsoft.com/office/drawing/2014/main" id="{CA4DF121-AB40-42F6-BC9E-08D27018D6A6}"/>
              </a:ext>
            </a:extLst>
          </xdr:cNvPr>
          <xdr:cNvSpPr/>
        </xdr:nvSpPr>
        <xdr:spPr>
          <a:xfrm>
            <a:off x="5460519" y="3225977"/>
            <a:ext cx="637885" cy="346700"/>
          </a:xfrm>
          <a:prstGeom prst="roundRect">
            <a:avLst/>
          </a:prstGeom>
          <a:pattFill prst="pct5">
            <a:fgClr>
              <a:schemeClr val="accent1">
                <a:lumMod val="50000"/>
              </a:schemeClr>
            </a:fgClr>
            <a:bgClr>
              <a:schemeClr val="bg1"/>
            </a:bgClr>
          </a:patt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4E9737B-1A7D-4C07-B9D1-F246E59470E8}" type="TxLink">
              <a:rPr lang="en-US" sz="800" b="0" i="0" u="none" strike="noStrike">
                <a:solidFill>
                  <a:schemeClr val="accent5">
                    <a:lumMod val="50000"/>
                  </a:schemeClr>
                </a:solidFill>
                <a:latin typeface="Century Gothic"/>
              </a:rPr>
              <a:pPr algn="ctr"/>
              <a:t>Crisis COVID 
429 - 31.7%</a:t>
            </a:fld>
            <a:endParaRPr lang="en-US" sz="600" b="0">
              <a:solidFill>
                <a:schemeClr val="accent5">
                  <a:lumMod val="50000"/>
                </a:schemeClr>
              </a:solidFill>
            </a:endParaRPr>
          </a:p>
        </xdr:txBody>
      </xdr:sp>
      <xdr:sp macro="" textlink="Chart!F84">
        <xdr:nvSpPr>
          <xdr:cNvPr id="511" name="Rounded Rectangle 149">
            <a:extLst>
              <a:ext uri="{FF2B5EF4-FFF2-40B4-BE49-F238E27FC236}">
                <a16:creationId xmlns:a16="http://schemas.microsoft.com/office/drawing/2014/main" id="{CA9818D6-FED8-41E6-9B48-F7A3B102814E}"/>
              </a:ext>
            </a:extLst>
          </xdr:cNvPr>
          <xdr:cNvSpPr/>
        </xdr:nvSpPr>
        <xdr:spPr>
          <a:xfrm>
            <a:off x="7582717" y="3225977"/>
            <a:ext cx="636969" cy="346700"/>
          </a:xfrm>
          <a:prstGeom prst="roundRect">
            <a:avLst/>
          </a:prstGeom>
          <a:pattFill prst="pct5">
            <a:fgClr>
              <a:schemeClr val="accent5"/>
            </a:fgClr>
            <a:bgClr>
              <a:schemeClr val="bg1"/>
            </a:bgClr>
          </a:patt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34CB501-A7B4-4E81-BEF1-7354B446EC1C}" type="TxLink">
              <a:rPr lang="en-US" sz="800" b="0" i="0" u="none" strike="noStrike">
                <a:solidFill>
                  <a:schemeClr val="accent5"/>
                </a:solidFill>
                <a:latin typeface="Century Gothic"/>
              </a:rPr>
              <a:pPr algn="ctr"/>
              <a:t>Crisis COVID 
882 - 39.7%</a:t>
            </a:fld>
            <a:endParaRPr lang="en-US" sz="600" b="0">
              <a:solidFill>
                <a:schemeClr val="accent5"/>
              </a:solidFill>
            </a:endParaRPr>
          </a:p>
        </xdr:txBody>
      </xdr:sp>
      <xdr:sp macro="" textlink="Chart!G73">
        <xdr:nvSpPr>
          <xdr:cNvPr id="512" name="Rounded Rectangle 151">
            <a:extLst>
              <a:ext uri="{FF2B5EF4-FFF2-40B4-BE49-F238E27FC236}">
                <a16:creationId xmlns:a16="http://schemas.microsoft.com/office/drawing/2014/main" id="{D237FDA0-0A99-45B0-B870-0179E03D702C}"/>
              </a:ext>
            </a:extLst>
          </xdr:cNvPr>
          <xdr:cNvSpPr/>
        </xdr:nvSpPr>
        <xdr:spPr>
          <a:xfrm>
            <a:off x="9698573" y="3225977"/>
            <a:ext cx="636969" cy="346700"/>
          </a:xfrm>
          <a:prstGeom prst="roundRect">
            <a:avLst/>
          </a:prstGeom>
          <a:pattFill prst="pct5">
            <a:fgClr>
              <a:schemeClr val="accent1">
                <a:lumMod val="50000"/>
              </a:schemeClr>
            </a:fgClr>
            <a:bgClr>
              <a:schemeClr val="bg1"/>
            </a:bgClr>
          </a:patt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9B85731-F049-4DD3-A3B6-F6F2156E0F8D}" type="TxLink">
              <a:rPr lang="en-US" sz="800" b="0" i="0" u="none" strike="noStrike">
                <a:solidFill>
                  <a:schemeClr val="accent6">
                    <a:lumMod val="50000"/>
                  </a:schemeClr>
                </a:solidFill>
                <a:latin typeface="Century Gothic"/>
              </a:rPr>
              <a:pPr algn="ctr"/>
              <a:t>Crisis COVID 
429 - 56.4%</a:t>
            </a:fld>
            <a:endParaRPr lang="en-US" sz="600" b="0">
              <a:solidFill>
                <a:schemeClr val="accent6">
                  <a:lumMod val="50000"/>
                </a:schemeClr>
              </a:solidFill>
            </a:endParaRPr>
          </a:p>
        </xdr:txBody>
      </xdr:sp>
      <xdr:sp macro="" textlink="Chart!G84">
        <xdr:nvSpPr>
          <xdr:cNvPr id="513" name="Rounded Rectangle 153">
            <a:extLst>
              <a:ext uri="{FF2B5EF4-FFF2-40B4-BE49-F238E27FC236}">
                <a16:creationId xmlns:a16="http://schemas.microsoft.com/office/drawing/2014/main" id="{D5CFB0E1-7401-4DAF-808E-A8EC02E29D46}"/>
              </a:ext>
            </a:extLst>
          </xdr:cNvPr>
          <xdr:cNvSpPr/>
        </xdr:nvSpPr>
        <xdr:spPr>
          <a:xfrm>
            <a:off x="11816949" y="3225977"/>
            <a:ext cx="638779" cy="346761"/>
          </a:xfrm>
          <a:prstGeom prst="roundRect">
            <a:avLst/>
          </a:prstGeom>
          <a:pattFill prst="pct5">
            <a:fgClr>
              <a:schemeClr val="accent1">
                <a:lumMod val="50000"/>
              </a:schemeClr>
            </a:fgClr>
            <a:bgClr>
              <a:schemeClr val="bg1"/>
            </a:bgClr>
          </a:patt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E787313F-D703-4D0A-8AE4-DD730D0BB077}" type="TxLink">
              <a:rPr lang="en-US" sz="800" b="0" i="0" u="none" strike="noStrike">
                <a:solidFill>
                  <a:schemeClr val="accent6"/>
                </a:solidFill>
                <a:latin typeface="Century Gothic"/>
              </a:rPr>
              <a:pPr algn="ctr"/>
              <a:t>Crisis COVID 
882 - 53.7%</a:t>
            </a:fld>
            <a:endParaRPr lang="en-US" sz="500" b="0">
              <a:solidFill>
                <a:schemeClr val="accent6"/>
              </a:solidFill>
            </a:endParaRPr>
          </a:p>
        </xdr:txBody>
      </xdr:sp>
      <xdr:sp macro="" textlink="Chart!H73">
        <xdr:nvSpPr>
          <xdr:cNvPr id="514" name="Rounded Rectangle 155">
            <a:extLst>
              <a:ext uri="{FF2B5EF4-FFF2-40B4-BE49-F238E27FC236}">
                <a16:creationId xmlns:a16="http://schemas.microsoft.com/office/drawing/2014/main" id="{26D2D4FE-2D7D-4503-875B-3469A25D67BA}"/>
              </a:ext>
            </a:extLst>
          </xdr:cNvPr>
          <xdr:cNvSpPr/>
        </xdr:nvSpPr>
        <xdr:spPr>
          <a:xfrm>
            <a:off x="13944747" y="3225977"/>
            <a:ext cx="638779" cy="346761"/>
          </a:xfrm>
          <a:prstGeom prst="roundRect">
            <a:avLst/>
          </a:prstGeom>
          <a:pattFill prst="pct5">
            <a:fgClr>
              <a:schemeClr val="accent1">
                <a:lumMod val="50000"/>
              </a:schemeClr>
            </a:fgClr>
            <a:bgClr>
              <a:schemeClr val="bg1"/>
            </a:bgClr>
          </a:patt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046B6DE-2803-4D4F-A481-2CC6C5A8ADF1}" type="TxLink">
              <a:rPr lang="en-US" sz="800" b="0" i="0" u="none" strike="noStrike">
                <a:solidFill>
                  <a:schemeClr val="accent4">
                    <a:lumMod val="50000"/>
                  </a:schemeClr>
                </a:solidFill>
                <a:latin typeface="Century Gothic"/>
              </a:rPr>
              <a:pPr algn="ctr"/>
              <a:t>Crisis COVID 
429 - 89.3%</a:t>
            </a:fld>
            <a:endParaRPr lang="en-US" sz="600" b="0">
              <a:solidFill>
                <a:schemeClr val="accent4">
                  <a:lumMod val="50000"/>
                </a:schemeClr>
              </a:solidFill>
            </a:endParaRPr>
          </a:p>
        </xdr:txBody>
      </xdr:sp>
      <xdr:sp macro="" textlink="Chart!H84">
        <xdr:nvSpPr>
          <xdr:cNvPr id="515" name="Rounded Rectangle 157">
            <a:extLst>
              <a:ext uri="{FF2B5EF4-FFF2-40B4-BE49-F238E27FC236}">
                <a16:creationId xmlns:a16="http://schemas.microsoft.com/office/drawing/2014/main" id="{6071B884-30BA-4350-9367-EE03C9841064}"/>
              </a:ext>
            </a:extLst>
          </xdr:cNvPr>
          <xdr:cNvSpPr/>
        </xdr:nvSpPr>
        <xdr:spPr>
          <a:xfrm>
            <a:off x="16050641" y="3225977"/>
            <a:ext cx="638779" cy="346761"/>
          </a:xfrm>
          <a:prstGeom prst="roundRect">
            <a:avLst/>
          </a:prstGeom>
          <a:pattFill prst="pct5">
            <a:fgClr>
              <a:schemeClr val="accent1">
                <a:lumMod val="50000"/>
              </a:schemeClr>
            </a:fgClr>
            <a:bgClr>
              <a:schemeClr val="bg1"/>
            </a:bgClr>
          </a:patt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2A6A924-479D-4A80-ADD6-5ACD56FC492F}" type="TxLink">
              <a:rPr lang="en-US" sz="800" b="0" i="0" u="none" strike="noStrike">
                <a:solidFill>
                  <a:schemeClr val="accent4"/>
                </a:solidFill>
                <a:latin typeface="Century Gothic"/>
              </a:rPr>
              <a:pPr algn="ctr"/>
              <a:t>Crisis COVID 
882 - 86.3%</a:t>
            </a:fld>
            <a:endParaRPr lang="en-US" sz="600" b="0">
              <a:solidFill>
                <a:schemeClr val="accent4"/>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1</xdr:row>
      <xdr:rowOff>28575</xdr:rowOff>
    </xdr:from>
    <xdr:to>
      <xdr:col>16</xdr:col>
      <xdr:colOff>748771</xdr:colOff>
      <xdr:row>4</xdr:row>
      <xdr:rowOff>154305</xdr:rowOff>
    </xdr:to>
    <mc:AlternateContent xmlns:mc="http://schemas.openxmlformats.org/markup-compatibility/2006" xmlns:a14="http://schemas.microsoft.com/office/drawing/2010/main">
      <mc:Choice Requires="a14">
        <xdr:graphicFrame macro="">
          <xdr:nvGraphicFramePr>
            <xdr:cNvPr id="8" name="Facility 1">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Facility 1"/>
            </a:graphicData>
          </a:graphic>
        </xdr:graphicFrame>
      </mc:Choice>
      <mc:Fallback xmlns="">
        <xdr:sp macro="" textlink="">
          <xdr:nvSpPr>
            <xdr:cNvPr id="0" name=""/>
            <xdr:cNvSpPr>
              <a:spLocks noTextEdit="1"/>
            </xdr:cNvSpPr>
          </xdr:nvSpPr>
          <xdr:spPr>
            <a:xfrm>
              <a:off x="76200" y="542925"/>
              <a:ext cx="172974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14</xdr:col>
      <xdr:colOff>771526</xdr:colOff>
      <xdr:row>0</xdr:row>
      <xdr:rowOff>19050</xdr:rowOff>
    </xdr:from>
    <xdr:to>
      <xdr:col>16</xdr:col>
      <xdr:colOff>768352</xdr:colOff>
      <xdr:row>0</xdr:row>
      <xdr:rowOff>501495</xdr:rowOff>
    </xdr:to>
    <xdr:pic>
      <xdr:nvPicPr>
        <xdr:cNvPr id="140" name="Picture 139" descr="https://cdn2.webdamdb.com/220th_sm_Qpttv3El7Am7.jpg?1573762987">
          <a:extLst>
            <a:ext uri="{FF2B5EF4-FFF2-40B4-BE49-F238E27FC236}">
              <a16:creationId xmlns:a16="http://schemas.microsoft.com/office/drawing/2014/main" id="{00000000-0008-0000-00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06726" y="19050"/>
          <a:ext cx="1695450" cy="485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xdr:row>
      <xdr:rowOff>9525</xdr:rowOff>
    </xdr:from>
    <xdr:to>
      <xdr:col>17</xdr:col>
      <xdr:colOff>0</xdr:colOff>
      <xdr:row>24</xdr:row>
      <xdr:rowOff>154305</xdr:rowOff>
    </xdr:to>
    <xdr:grpSp>
      <xdr:nvGrpSpPr>
        <xdr:cNvPr id="12" name="Group 11">
          <a:extLst>
            <a:ext uri="{FF2B5EF4-FFF2-40B4-BE49-F238E27FC236}">
              <a16:creationId xmlns:a16="http://schemas.microsoft.com/office/drawing/2014/main" id="{AB6849B9-7E96-48D3-8DC3-3A4A93417458}"/>
            </a:ext>
          </a:extLst>
        </xdr:cNvPr>
        <xdr:cNvGrpSpPr/>
      </xdr:nvGrpSpPr>
      <xdr:grpSpPr>
        <a:xfrm>
          <a:off x="0" y="1183217"/>
          <a:ext cx="18758959" cy="3262629"/>
          <a:chOff x="0" y="1234168"/>
          <a:chExt cx="17430750" cy="3505744"/>
        </a:xfrm>
      </xdr:grpSpPr>
      <xdr:sp macro="" textlink="">
        <xdr:nvSpPr>
          <xdr:cNvPr id="14" name="Rectangle: Rounded Corners 13">
            <a:extLst>
              <a:ext uri="{FF2B5EF4-FFF2-40B4-BE49-F238E27FC236}">
                <a16:creationId xmlns:a16="http://schemas.microsoft.com/office/drawing/2014/main" id="{D27C4DE1-BE31-48B0-98DB-ADC0C617DF18}"/>
              </a:ext>
            </a:extLst>
          </xdr:cNvPr>
          <xdr:cNvSpPr/>
        </xdr:nvSpPr>
        <xdr:spPr>
          <a:xfrm>
            <a:off x="0" y="1234168"/>
            <a:ext cx="17430750" cy="2796268"/>
          </a:xfrm>
          <a:prstGeom prst="roundRect">
            <a:avLst/>
          </a:prstGeom>
          <a:solidFill>
            <a:schemeClr val="bg1">
              <a:lumMod val="8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400" b="1" i="0" u="none" strike="noStrike">
              <a:solidFill>
                <a:schemeClr val="bg1"/>
              </a:solidFill>
              <a:latin typeface="Century Gothic"/>
            </a:endParaRPr>
          </a:p>
        </xdr:txBody>
      </xdr:sp>
      <xdr:graphicFrame macro="">
        <xdr:nvGraphicFramePr>
          <xdr:cNvPr id="100" name="Chart 99">
            <a:extLst>
              <a:ext uri="{FF2B5EF4-FFF2-40B4-BE49-F238E27FC236}">
                <a16:creationId xmlns:a16="http://schemas.microsoft.com/office/drawing/2014/main" id="{00000000-0008-0000-0000-000064000000}"/>
              </a:ext>
            </a:extLst>
          </xdr:cNvPr>
          <xdr:cNvGraphicFramePr>
            <a:graphicFrameLocks/>
          </xdr:cNvGraphicFramePr>
        </xdr:nvGraphicFramePr>
        <xdr:xfrm>
          <a:off x="219075" y="2194832"/>
          <a:ext cx="2064558" cy="254508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11" name="Chart 110">
            <a:extLst>
              <a:ext uri="{FF2B5EF4-FFF2-40B4-BE49-F238E27FC236}">
                <a16:creationId xmlns:a16="http://schemas.microsoft.com/office/drawing/2014/main" id="{00000000-0008-0000-0000-00006F000000}"/>
              </a:ext>
            </a:extLst>
          </xdr:cNvPr>
          <xdr:cNvGraphicFramePr>
            <a:graphicFrameLocks/>
          </xdr:cNvGraphicFramePr>
        </xdr:nvGraphicFramePr>
        <xdr:xfrm>
          <a:off x="2360205" y="2194832"/>
          <a:ext cx="2061837" cy="254508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12" name="Chart 111">
            <a:extLst>
              <a:ext uri="{FF2B5EF4-FFF2-40B4-BE49-F238E27FC236}">
                <a16:creationId xmlns:a16="http://schemas.microsoft.com/office/drawing/2014/main" id="{00000000-0008-0000-0000-000070000000}"/>
              </a:ext>
            </a:extLst>
          </xdr:cNvPr>
          <xdr:cNvGraphicFramePr>
            <a:graphicFrameLocks/>
          </xdr:cNvGraphicFramePr>
        </xdr:nvGraphicFramePr>
        <xdr:xfrm>
          <a:off x="4498614" y="2194832"/>
          <a:ext cx="2064559" cy="254508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13" name="Chart 112">
            <a:extLst>
              <a:ext uri="{FF2B5EF4-FFF2-40B4-BE49-F238E27FC236}">
                <a16:creationId xmlns:a16="http://schemas.microsoft.com/office/drawing/2014/main" id="{00000000-0008-0000-0000-000071000000}"/>
              </a:ext>
            </a:extLst>
          </xdr:cNvPr>
          <xdr:cNvGraphicFramePr>
            <a:graphicFrameLocks/>
          </xdr:cNvGraphicFramePr>
        </xdr:nvGraphicFramePr>
        <xdr:xfrm>
          <a:off x="6639745" y="2194832"/>
          <a:ext cx="2053673" cy="254508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14" name="Chart 113">
            <a:extLst>
              <a:ext uri="{FF2B5EF4-FFF2-40B4-BE49-F238E27FC236}">
                <a16:creationId xmlns:a16="http://schemas.microsoft.com/office/drawing/2014/main" id="{00000000-0008-0000-0000-000072000000}"/>
              </a:ext>
            </a:extLst>
          </xdr:cNvPr>
          <xdr:cNvGraphicFramePr>
            <a:graphicFrameLocks/>
          </xdr:cNvGraphicFramePr>
        </xdr:nvGraphicFramePr>
        <xdr:xfrm>
          <a:off x="8769990" y="2194832"/>
          <a:ext cx="2049590" cy="254508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15" name="Chart 114">
            <a:extLst>
              <a:ext uri="{FF2B5EF4-FFF2-40B4-BE49-F238E27FC236}">
                <a16:creationId xmlns:a16="http://schemas.microsoft.com/office/drawing/2014/main" id="{00000000-0008-0000-0000-000073000000}"/>
              </a:ext>
            </a:extLst>
          </xdr:cNvPr>
          <xdr:cNvGraphicFramePr>
            <a:graphicFrameLocks/>
          </xdr:cNvGraphicFramePr>
        </xdr:nvGraphicFramePr>
        <xdr:xfrm>
          <a:off x="10896152" y="2194832"/>
          <a:ext cx="2053673" cy="254508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16" name="Chart 115">
            <a:extLst>
              <a:ext uri="{FF2B5EF4-FFF2-40B4-BE49-F238E27FC236}">
                <a16:creationId xmlns:a16="http://schemas.microsoft.com/office/drawing/2014/main" id="{00000000-0008-0000-0000-000074000000}"/>
              </a:ext>
            </a:extLst>
          </xdr:cNvPr>
          <xdr:cNvGraphicFramePr>
            <a:graphicFrameLocks/>
          </xdr:cNvGraphicFramePr>
        </xdr:nvGraphicFramePr>
        <xdr:xfrm>
          <a:off x="13026397" y="2194832"/>
          <a:ext cx="2049590" cy="254508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17" name="Chart 116">
            <a:extLst>
              <a:ext uri="{FF2B5EF4-FFF2-40B4-BE49-F238E27FC236}">
                <a16:creationId xmlns:a16="http://schemas.microsoft.com/office/drawing/2014/main" id="{00000000-0008-0000-0000-000075000000}"/>
              </a:ext>
            </a:extLst>
          </xdr:cNvPr>
          <xdr:cNvGraphicFramePr>
            <a:graphicFrameLocks/>
          </xdr:cNvGraphicFramePr>
        </xdr:nvGraphicFramePr>
        <xdr:xfrm>
          <a:off x="15152559" y="2194832"/>
          <a:ext cx="2053673" cy="254508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18" name="Rounded Rectangle 117">
            <a:extLst>
              <a:ext uri="{FF2B5EF4-FFF2-40B4-BE49-F238E27FC236}">
                <a16:creationId xmlns:a16="http://schemas.microsoft.com/office/drawing/2014/main" id="{00000000-0008-0000-0000-000076000000}"/>
              </a:ext>
            </a:extLst>
          </xdr:cNvPr>
          <xdr:cNvSpPr/>
        </xdr:nvSpPr>
        <xdr:spPr>
          <a:xfrm>
            <a:off x="432915" y="1300843"/>
            <a:ext cx="3767815" cy="285206"/>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Baseline</a:t>
            </a:r>
          </a:p>
        </xdr:txBody>
      </xdr:sp>
      <xdr:sp macro="" textlink="">
        <xdr:nvSpPr>
          <xdr:cNvPr id="120" name="Rounded Rectangle 119">
            <a:extLst>
              <a:ext uri="{FF2B5EF4-FFF2-40B4-BE49-F238E27FC236}">
                <a16:creationId xmlns:a16="http://schemas.microsoft.com/office/drawing/2014/main" id="{00000000-0008-0000-0000-000078000000}"/>
              </a:ext>
            </a:extLst>
          </xdr:cNvPr>
          <xdr:cNvSpPr/>
        </xdr:nvSpPr>
        <xdr:spPr>
          <a:xfrm>
            <a:off x="308720" y="1702254"/>
            <a:ext cx="1878465" cy="285205"/>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121" name="Rounded Rectangle 120">
            <a:extLst>
              <a:ext uri="{FF2B5EF4-FFF2-40B4-BE49-F238E27FC236}">
                <a16:creationId xmlns:a16="http://schemas.microsoft.com/office/drawing/2014/main" id="{00000000-0008-0000-0000-000079000000}"/>
              </a:ext>
            </a:extLst>
          </xdr:cNvPr>
          <xdr:cNvSpPr/>
        </xdr:nvSpPr>
        <xdr:spPr>
          <a:xfrm>
            <a:off x="2449850" y="1702254"/>
            <a:ext cx="1882547" cy="285205"/>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122" name="Rounded Rectangle 121">
            <a:extLst>
              <a:ext uri="{FF2B5EF4-FFF2-40B4-BE49-F238E27FC236}">
                <a16:creationId xmlns:a16="http://schemas.microsoft.com/office/drawing/2014/main" id="{00000000-0008-0000-0000-00007A000000}"/>
              </a:ext>
            </a:extLst>
          </xdr:cNvPr>
          <xdr:cNvSpPr/>
        </xdr:nvSpPr>
        <xdr:spPr>
          <a:xfrm>
            <a:off x="4712454" y="1300843"/>
            <a:ext cx="3759652" cy="285206"/>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Ramp Up</a:t>
            </a:r>
          </a:p>
        </xdr:txBody>
      </xdr:sp>
      <xdr:sp macro="" textlink="">
        <xdr:nvSpPr>
          <xdr:cNvPr id="123" name="Rounded Rectangle 122">
            <a:extLst>
              <a:ext uri="{FF2B5EF4-FFF2-40B4-BE49-F238E27FC236}">
                <a16:creationId xmlns:a16="http://schemas.microsoft.com/office/drawing/2014/main" id="{00000000-0008-0000-0000-00007B000000}"/>
              </a:ext>
            </a:extLst>
          </xdr:cNvPr>
          <xdr:cNvSpPr/>
        </xdr:nvSpPr>
        <xdr:spPr>
          <a:xfrm>
            <a:off x="4588259" y="1702254"/>
            <a:ext cx="1885269" cy="285205"/>
          </a:xfrm>
          <a:prstGeom prst="round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124" name="Rounded Rectangle 123">
            <a:extLst>
              <a:ext uri="{FF2B5EF4-FFF2-40B4-BE49-F238E27FC236}">
                <a16:creationId xmlns:a16="http://schemas.microsoft.com/office/drawing/2014/main" id="{00000000-0008-0000-0000-00007C000000}"/>
              </a:ext>
            </a:extLst>
          </xdr:cNvPr>
          <xdr:cNvSpPr/>
        </xdr:nvSpPr>
        <xdr:spPr>
          <a:xfrm>
            <a:off x="6729390" y="1702254"/>
            <a:ext cx="1874383" cy="285205"/>
          </a:xfrm>
          <a:prstGeom prst="roundRect">
            <a:avLst/>
          </a:prstGeom>
          <a:solidFill>
            <a:schemeClr val="accent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132" name="Rounded Rectangle 131">
            <a:extLst>
              <a:ext uri="{FF2B5EF4-FFF2-40B4-BE49-F238E27FC236}">
                <a16:creationId xmlns:a16="http://schemas.microsoft.com/office/drawing/2014/main" id="{00000000-0008-0000-0000-000084000000}"/>
              </a:ext>
            </a:extLst>
          </xdr:cNvPr>
          <xdr:cNvSpPr/>
        </xdr:nvSpPr>
        <xdr:spPr>
          <a:xfrm>
            <a:off x="8983830" y="1300843"/>
            <a:ext cx="3744683" cy="285206"/>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Surge</a:t>
            </a:r>
          </a:p>
        </xdr:txBody>
      </xdr:sp>
      <xdr:sp macro="" textlink="">
        <xdr:nvSpPr>
          <xdr:cNvPr id="133" name="Rounded Rectangle 132">
            <a:extLst>
              <a:ext uri="{FF2B5EF4-FFF2-40B4-BE49-F238E27FC236}">
                <a16:creationId xmlns:a16="http://schemas.microsoft.com/office/drawing/2014/main" id="{00000000-0008-0000-0000-000085000000}"/>
              </a:ext>
            </a:extLst>
          </xdr:cNvPr>
          <xdr:cNvSpPr/>
        </xdr:nvSpPr>
        <xdr:spPr>
          <a:xfrm>
            <a:off x="8859635" y="1702254"/>
            <a:ext cx="1870300" cy="285205"/>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134" name="Rounded Rectangle 133">
            <a:extLst>
              <a:ext uri="{FF2B5EF4-FFF2-40B4-BE49-F238E27FC236}">
                <a16:creationId xmlns:a16="http://schemas.microsoft.com/office/drawing/2014/main" id="{00000000-0008-0000-0000-000086000000}"/>
              </a:ext>
            </a:extLst>
          </xdr:cNvPr>
          <xdr:cNvSpPr/>
        </xdr:nvSpPr>
        <xdr:spPr>
          <a:xfrm>
            <a:off x="10985797" y="1702254"/>
            <a:ext cx="1874383" cy="285205"/>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136" name="Rounded Rectangle 135">
            <a:extLst>
              <a:ext uri="{FF2B5EF4-FFF2-40B4-BE49-F238E27FC236}">
                <a16:creationId xmlns:a16="http://schemas.microsoft.com/office/drawing/2014/main" id="{00000000-0008-0000-0000-000088000000}"/>
              </a:ext>
            </a:extLst>
          </xdr:cNvPr>
          <xdr:cNvSpPr/>
        </xdr:nvSpPr>
        <xdr:spPr>
          <a:xfrm>
            <a:off x="13236155" y="1300843"/>
            <a:ext cx="3748765" cy="285206"/>
          </a:xfrm>
          <a:prstGeom prst="roundRect">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Surge + Next Up</a:t>
            </a:r>
          </a:p>
        </xdr:txBody>
      </xdr:sp>
      <xdr:sp macro="" textlink="">
        <xdr:nvSpPr>
          <xdr:cNvPr id="137" name="Rounded Rectangle 136">
            <a:extLst>
              <a:ext uri="{FF2B5EF4-FFF2-40B4-BE49-F238E27FC236}">
                <a16:creationId xmlns:a16="http://schemas.microsoft.com/office/drawing/2014/main" id="{00000000-0008-0000-0000-000089000000}"/>
              </a:ext>
            </a:extLst>
          </xdr:cNvPr>
          <xdr:cNvSpPr/>
        </xdr:nvSpPr>
        <xdr:spPr>
          <a:xfrm>
            <a:off x="13116042" y="1702254"/>
            <a:ext cx="1870300" cy="285205"/>
          </a:xfrm>
          <a:prstGeom prst="roundRect">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ICU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
        <xdr:nvSpPr>
          <xdr:cNvPr id="138" name="Rounded Rectangle 137">
            <a:extLst>
              <a:ext uri="{FF2B5EF4-FFF2-40B4-BE49-F238E27FC236}">
                <a16:creationId xmlns:a16="http://schemas.microsoft.com/office/drawing/2014/main" id="{00000000-0008-0000-0000-00008A000000}"/>
              </a:ext>
            </a:extLst>
          </xdr:cNvPr>
          <xdr:cNvSpPr/>
        </xdr:nvSpPr>
        <xdr:spPr>
          <a:xfrm>
            <a:off x="15242204" y="1702254"/>
            <a:ext cx="1874383" cy="285205"/>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9144" rIns="0" bIns="0" rtlCol="0" anchor="t"/>
          <a:lstStyle/>
          <a:p>
            <a:pPr algn="ctr"/>
            <a:r>
              <a:rPr lang="en-US" sz="1400" b="1">
                <a:latin typeface="Century Gothic" panose="020B0502020202020204" pitchFamily="34" charset="0"/>
              </a:rPr>
              <a:t>Acute -</a:t>
            </a:r>
            <a:r>
              <a:rPr lang="en-US" sz="1400" b="1" baseline="0">
                <a:latin typeface="Century Gothic" panose="020B0502020202020204" pitchFamily="34" charset="0"/>
              </a:rPr>
              <a:t> COVID</a:t>
            </a:r>
            <a:endParaRPr lang="en-US" sz="1400" b="1">
              <a:latin typeface="Century Gothic" panose="020B0502020202020204" pitchFamily="34" charset="0"/>
            </a:endParaRPr>
          </a:p>
        </xdr:txBody>
      </xdr:sp>
      <xdr:sp macro="" textlink="Chart!E48">
        <xdr:nvSpPr>
          <xdr:cNvPr id="141" name="Rounded Rectangle 140">
            <a:extLst>
              <a:ext uri="{FF2B5EF4-FFF2-40B4-BE49-F238E27FC236}">
                <a16:creationId xmlns:a16="http://schemas.microsoft.com/office/drawing/2014/main" id="{00000000-0008-0000-0000-00008D000000}"/>
              </a:ext>
            </a:extLst>
          </xdr:cNvPr>
          <xdr:cNvSpPr/>
        </xdr:nvSpPr>
        <xdr:spPr>
          <a:xfrm>
            <a:off x="887331" y="2109107"/>
            <a:ext cx="717161" cy="234043"/>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6E5157A-C06D-4AAE-B4F6-2041DEC0172D}" type="TxLink">
              <a:rPr lang="en-US" sz="1400" b="1" i="0" u="none" strike="noStrike">
                <a:solidFill>
                  <a:schemeClr val="bg1"/>
                </a:solidFill>
                <a:latin typeface="Century Gothic"/>
              </a:rPr>
              <a:pPr algn="ctr"/>
              <a:t>16</a:t>
            </a:fld>
            <a:endParaRPr lang="en-US" sz="1400" b="1">
              <a:solidFill>
                <a:schemeClr val="bg1"/>
              </a:solidFill>
            </a:endParaRPr>
          </a:p>
        </xdr:txBody>
      </xdr:sp>
      <xdr:sp macro="" textlink="Chart!E59">
        <xdr:nvSpPr>
          <xdr:cNvPr id="142" name="Rounded Rectangle 141">
            <a:extLst>
              <a:ext uri="{FF2B5EF4-FFF2-40B4-BE49-F238E27FC236}">
                <a16:creationId xmlns:a16="http://schemas.microsoft.com/office/drawing/2014/main" id="{00000000-0008-0000-0000-00008E000000}"/>
              </a:ext>
            </a:extLst>
          </xdr:cNvPr>
          <xdr:cNvSpPr/>
        </xdr:nvSpPr>
        <xdr:spPr>
          <a:xfrm>
            <a:off x="3032543" y="2109107"/>
            <a:ext cx="717161" cy="234043"/>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4D08CB6-9C56-4184-9AB9-1E3E80D205E2}" type="TxLink">
              <a:rPr lang="en-US" sz="1400" b="1" i="0" u="none" strike="noStrike">
                <a:solidFill>
                  <a:schemeClr val="bg1"/>
                </a:solidFill>
                <a:latin typeface="Century Gothic"/>
              </a:rPr>
              <a:pPr algn="ctr"/>
              <a:t>59</a:t>
            </a:fld>
            <a:endParaRPr lang="en-US" sz="2000" b="1">
              <a:solidFill>
                <a:schemeClr val="bg1"/>
              </a:solidFill>
            </a:endParaRPr>
          </a:p>
        </xdr:txBody>
      </xdr:sp>
      <xdr:sp macro="" textlink="Chart!E49">
        <xdr:nvSpPr>
          <xdr:cNvPr id="143" name="Rounded Rectangle 142">
            <a:extLst>
              <a:ext uri="{FF2B5EF4-FFF2-40B4-BE49-F238E27FC236}">
                <a16:creationId xmlns:a16="http://schemas.microsoft.com/office/drawing/2014/main" id="{00000000-0008-0000-0000-00008F000000}"/>
              </a:ext>
            </a:extLst>
          </xdr:cNvPr>
          <xdr:cNvSpPr/>
        </xdr:nvSpPr>
        <xdr:spPr>
          <a:xfrm>
            <a:off x="228413" y="3562350"/>
            <a:ext cx="635998" cy="376646"/>
          </a:xfrm>
          <a:prstGeom prst="round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2DD1B47-82F3-4223-9D71-28C66552F427}" type="TxLink">
              <a:rPr lang="en-US" sz="800" b="0" i="0" u="none" strike="noStrike">
                <a:solidFill>
                  <a:schemeClr val="bg1"/>
                </a:solidFill>
                <a:latin typeface="Century Gothic"/>
              </a:rPr>
              <a:pPr algn="ctr"/>
              <a:t>Max COVID 
40 - 40.0%</a:t>
            </a:fld>
            <a:endParaRPr lang="en-US" sz="900" b="0">
              <a:solidFill>
                <a:schemeClr val="bg1"/>
              </a:solidFill>
            </a:endParaRPr>
          </a:p>
        </xdr:txBody>
      </xdr:sp>
      <xdr:sp macro="" textlink="Chart!E51">
        <xdr:nvSpPr>
          <xdr:cNvPr id="144" name="Rounded Rectangle 143">
            <a:extLst>
              <a:ext uri="{FF2B5EF4-FFF2-40B4-BE49-F238E27FC236}">
                <a16:creationId xmlns:a16="http://schemas.microsoft.com/office/drawing/2014/main" id="{00000000-0008-0000-0000-000090000000}"/>
              </a:ext>
            </a:extLst>
          </xdr:cNvPr>
          <xdr:cNvSpPr/>
        </xdr:nvSpPr>
        <xdr:spPr>
          <a:xfrm>
            <a:off x="1617380" y="3562350"/>
            <a:ext cx="665171" cy="376646"/>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9536330-EDEC-4518-BF34-DAE0288116CA}" type="TxLink">
              <a:rPr lang="en-US" sz="800" b="0" i="0" u="none" strike="noStrike">
                <a:solidFill>
                  <a:srgbClr val="000000"/>
                </a:solidFill>
                <a:latin typeface="Century Gothic"/>
              </a:rPr>
              <a:pPr algn="ctr"/>
              <a:t>All Beds
79 - 20.3%</a:t>
            </a:fld>
            <a:endParaRPr lang="en-US" sz="900" b="0">
              <a:solidFill>
                <a:schemeClr val="accent1">
                  <a:lumMod val="50000"/>
                </a:schemeClr>
              </a:solidFill>
            </a:endParaRPr>
          </a:p>
        </xdr:txBody>
      </xdr:sp>
      <xdr:sp macro="" textlink="Chart!E60">
        <xdr:nvSpPr>
          <xdr:cNvPr id="145" name="Rounded Rectangle 144">
            <a:extLst>
              <a:ext uri="{FF2B5EF4-FFF2-40B4-BE49-F238E27FC236}">
                <a16:creationId xmlns:a16="http://schemas.microsoft.com/office/drawing/2014/main" id="{00000000-0008-0000-0000-000091000000}"/>
              </a:ext>
            </a:extLst>
          </xdr:cNvPr>
          <xdr:cNvSpPr/>
        </xdr:nvSpPr>
        <xdr:spPr>
          <a:xfrm>
            <a:off x="2378881" y="3562350"/>
            <a:ext cx="640080" cy="376646"/>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DD978F1B-272D-423D-A849-3C982C4EFB7D}" type="TxLink">
              <a:rPr lang="en-US" sz="800" b="0" i="0" u="none" strike="noStrike">
                <a:solidFill>
                  <a:schemeClr val="bg1"/>
                </a:solidFill>
                <a:latin typeface="Century Gothic"/>
              </a:rPr>
              <a:pPr algn="ctr"/>
              <a:t>Max COVID 
143 - 41.3%</a:t>
            </a:fld>
            <a:endParaRPr lang="en-US" sz="300" b="0">
              <a:solidFill>
                <a:schemeClr val="bg1"/>
              </a:solidFill>
            </a:endParaRPr>
          </a:p>
        </xdr:txBody>
      </xdr:sp>
      <xdr:sp macro="" textlink="Chart!E62">
        <xdr:nvSpPr>
          <xdr:cNvPr id="146" name="Rounded Rectangle 145">
            <a:extLst>
              <a:ext uri="{FF2B5EF4-FFF2-40B4-BE49-F238E27FC236}">
                <a16:creationId xmlns:a16="http://schemas.microsoft.com/office/drawing/2014/main" id="{00000000-0008-0000-0000-000092000000}"/>
              </a:ext>
            </a:extLst>
          </xdr:cNvPr>
          <xdr:cNvSpPr/>
        </xdr:nvSpPr>
        <xdr:spPr>
          <a:xfrm>
            <a:off x="3752880" y="3562350"/>
            <a:ext cx="658368" cy="376646"/>
          </a:xfrm>
          <a:prstGeom prst="roundRect">
            <a:avLst/>
          </a:prstGeom>
          <a:solidFill>
            <a:schemeClr val="bg1"/>
          </a:solidFill>
          <a:ln w="19050">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03832FC-68C4-42C8-BF57-2B8E6ACA6FB1}" type="TxLink">
              <a:rPr lang="en-US" sz="800" b="0" i="0" u="none" strike="noStrike">
                <a:solidFill>
                  <a:schemeClr val="accent1"/>
                </a:solidFill>
                <a:latin typeface="Century Gothic"/>
              </a:rPr>
              <a:pPr algn="ctr"/>
              <a:t>All Beds
222 - 26.6%</a:t>
            </a:fld>
            <a:endParaRPr lang="en-US" sz="700" b="0">
              <a:solidFill>
                <a:schemeClr val="accent1"/>
              </a:solidFill>
            </a:endParaRPr>
          </a:p>
        </xdr:txBody>
      </xdr:sp>
      <xdr:sp macro="" textlink="Chart!E63">
        <xdr:nvSpPr>
          <xdr:cNvPr id="147" name="Rounded Rectangle 146">
            <a:extLst>
              <a:ext uri="{FF2B5EF4-FFF2-40B4-BE49-F238E27FC236}">
                <a16:creationId xmlns:a16="http://schemas.microsoft.com/office/drawing/2014/main" id="{00000000-0008-0000-0000-000093000000}"/>
              </a:ext>
            </a:extLst>
          </xdr:cNvPr>
          <xdr:cNvSpPr/>
        </xdr:nvSpPr>
        <xdr:spPr>
          <a:xfrm>
            <a:off x="1813762" y="2109107"/>
            <a:ext cx="966923" cy="470091"/>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2A27691-2A5D-4C21-9E35-EEFDFA81F59F}" type="TxLink">
              <a:rPr lang="en-US" sz="1200" b="1" i="0" u="none" strike="noStrike">
                <a:solidFill>
                  <a:schemeClr val="bg1"/>
                </a:solidFill>
                <a:latin typeface="Century Gothic"/>
              </a:rPr>
              <a:pPr algn="ctr"/>
              <a:t>Total COVID
75</a:t>
            </a:fld>
            <a:endParaRPr lang="en-US" sz="3200" b="1">
              <a:solidFill>
                <a:schemeClr val="bg1"/>
              </a:solidFill>
            </a:endParaRPr>
          </a:p>
        </xdr:txBody>
      </xdr:sp>
      <xdr:sp macro="" textlink="Chart!F49">
        <xdr:nvSpPr>
          <xdr:cNvPr id="148" name="Rounded Rectangle 147">
            <a:extLst>
              <a:ext uri="{FF2B5EF4-FFF2-40B4-BE49-F238E27FC236}">
                <a16:creationId xmlns:a16="http://schemas.microsoft.com/office/drawing/2014/main" id="{00000000-0008-0000-0000-000094000000}"/>
              </a:ext>
            </a:extLst>
          </xdr:cNvPr>
          <xdr:cNvSpPr/>
        </xdr:nvSpPr>
        <xdr:spPr>
          <a:xfrm>
            <a:off x="4517477" y="3562350"/>
            <a:ext cx="640080" cy="376646"/>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244DFAB-5705-42A4-B90E-47C2A2FCFDCE}" type="TxLink">
              <a:rPr lang="en-US" sz="800" b="0" i="0" u="none" strike="noStrike">
                <a:solidFill>
                  <a:schemeClr val="bg1"/>
                </a:solidFill>
                <a:latin typeface="Century Gothic"/>
              </a:rPr>
              <a:pPr algn="ctr"/>
              <a:t>Max COVID 
40 - 40.0%</a:t>
            </a:fld>
            <a:endParaRPr lang="en-US" sz="500" b="0">
              <a:solidFill>
                <a:schemeClr val="bg1"/>
              </a:solidFill>
            </a:endParaRPr>
          </a:p>
        </xdr:txBody>
      </xdr:sp>
      <xdr:sp macro="" textlink="Chart!F51">
        <xdr:nvSpPr>
          <xdr:cNvPr id="149" name="Rounded Rectangle 148">
            <a:extLst>
              <a:ext uri="{FF2B5EF4-FFF2-40B4-BE49-F238E27FC236}">
                <a16:creationId xmlns:a16="http://schemas.microsoft.com/office/drawing/2014/main" id="{00000000-0008-0000-0000-000095000000}"/>
              </a:ext>
            </a:extLst>
          </xdr:cNvPr>
          <xdr:cNvSpPr/>
        </xdr:nvSpPr>
        <xdr:spPr>
          <a:xfrm>
            <a:off x="5897062" y="3562350"/>
            <a:ext cx="654286" cy="376646"/>
          </a:xfrm>
          <a:prstGeom prst="roundRect">
            <a:avLst/>
          </a:prstGeom>
          <a:solidFill>
            <a:schemeClr val="bg1"/>
          </a:solidFill>
          <a:ln w="19050">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0C68711-5D70-46D9-95D8-FD19ECE18909}" type="TxLink">
              <a:rPr lang="en-US" sz="800" b="0" i="0" u="none" strike="noStrike">
                <a:solidFill>
                  <a:schemeClr val="accent5">
                    <a:lumMod val="50000"/>
                  </a:schemeClr>
                </a:solidFill>
                <a:latin typeface="Century Gothic"/>
              </a:rPr>
              <a:pPr algn="ctr"/>
              <a:t>All Beds
79 - 20.3%</a:t>
            </a:fld>
            <a:endParaRPr lang="en-US" sz="500" b="0">
              <a:solidFill>
                <a:schemeClr val="accent5">
                  <a:lumMod val="50000"/>
                </a:schemeClr>
              </a:solidFill>
            </a:endParaRPr>
          </a:p>
        </xdr:txBody>
      </xdr:sp>
      <xdr:sp macro="" textlink="Chart!F60">
        <xdr:nvSpPr>
          <xdr:cNvPr id="150" name="Rounded Rectangle 149">
            <a:extLst>
              <a:ext uri="{FF2B5EF4-FFF2-40B4-BE49-F238E27FC236}">
                <a16:creationId xmlns:a16="http://schemas.microsoft.com/office/drawing/2014/main" id="{00000000-0008-0000-0000-000096000000}"/>
              </a:ext>
            </a:extLst>
          </xdr:cNvPr>
          <xdr:cNvSpPr/>
        </xdr:nvSpPr>
        <xdr:spPr>
          <a:xfrm>
            <a:off x="6658421" y="3562350"/>
            <a:ext cx="640080" cy="376646"/>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3F20CBCC-1668-494A-ABA0-0E7E3434F4BA}" type="TxLink">
              <a:rPr lang="en-US" sz="800" b="0" i="0" u="none" strike="noStrike">
                <a:solidFill>
                  <a:schemeClr val="bg1"/>
                </a:solidFill>
                <a:latin typeface="Century Gothic"/>
              </a:rPr>
              <a:pPr algn="ctr"/>
              <a:t>Max COVID 
143 - 62.2%</a:t>
            </a:fld>
            <a:endParaRPr lang="en-US" sz="300" b="0">
              <a:solidFill>
                <a:schemeClr val="bg1"/>
              </a:solidFill>
            </a:endParaRPr>
          </a:p>
        </xdr:txBody>
      </xdr:sp>
      <xdr:sp macro="" textlink="Chart!F62">
        <xdr:nvSpPr>
          <xdr:cNvPr id="151" name="Rounded Rectangle 150">
            <a:extLst>
              <a:ext uri="{FF2B5EF4-FFF2-40B4-BE49-F238E27FC236}">
                <a16:creationId xmlns:a16="http://schemas.microsoft.com/office/drawing/2014/main" id="{00000000-0008-0000-0000-000097000000}"/>
              </a:ext>
            </a:extLst>
          </xdr:cNvPr>
          <xdr:cNvSpPr/>
        </xdr:nvSpPr>
        <xdr:spPr>
          <a:xfrm>
            <a:off x="8028338" y="3562350"/>
            <a:ext cx="654286" cy="376646"/>
          </a:xfrm>
          <a:prstGeom prst="roundRect">
            <a:avLst/>
          </a:prstGeom>
          <a:solidFill>
            <a:schemeClr val="bg1"/>
          </a:solidFill>
          <a:ln w="19050">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8A4F445-8ADF-4F64-BF6F-5982133D38C1}" type="TxLink">
              <a:rPr lang="en-US" sz="800" b="0" i="0" u="none" strike="noStrike">
                <a:solidFill>
                  <a:schemeClr val="accent5"/>
                </a:solidFill>
                <a:latin typeface="Century Gothic"/>
              </a:rPr>
              <a:pPr algn="ctr"/>
              <a:t>All Beds
222 - 40.1%</a:t>
            </a:fld>
            <a:endParaRPr lang="en-US" sz="300" b="0">
              <a:solidFill>
                <a:schemeClr val="accent5"/>
              </a:solidFill>
            </a:endParaRPr>
          </a:p>
        </xdr:txBody>
      </xdr:sp>
      <xdr:sp macro="" textlink="Chart!G49">
        <xdr:nvSpPr>
          <xdr:cNvPr id="152" name="Rounded Rectangle 151">
            <a:extLst>
              <a:ext uri="{FF2B5EF4-FFF2-40B4-BE49-F238E27FC236}">
                <a16:creationId xmlns:a16="http://schemas.microsoft.com/office/drawing/2014/main" id="{00000000-0008-0000-0000-000098000000}"/>
              </a:ext>
            </a:extLst>
          </xdr:cNvPr>
          <xdr:cNvSpPr/>
        </xdr:nvSpPr>
        <xdr:spPr>
          <a:xfrm>
            <a:off x="8779515" y="3562350"/>
            <a:ext cx="635997" cy="376646"/>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EF40DC22-837A-4263-9D58-4BFC6841599E}" type="TxLink">
              <a:rPr lang="en-US" sz="800" b="0" i="0" u="none" strike="noStrike">
                <a:solidFill>
                  <a:schemeClr val="bg1"/>
                </a:solidFill>
                <a:latin typeface="Century Gothic"/>
              </a:rPr>
              <a:pPr algn="ctr"/>
              <a:t>Max COVID 
40 - 100.0%</a:t>
            </a:fld>
            <a:endParaRPr lang="en-US" sz="500" b="0">
              <a:solidFill>
                <a:schemeClr val="bg1"/>
              </a:solidFill>
            </a:endParaRPr>
          </a:p>
        </xdr:txBody>
      </xdr:sp>
      <xdr:sp macro="" textlink="Chart!G51">
        <xdr:nvSpPr>
          <xdr:cNvPr id="153" name="Rounded Rectangle 152">
            <a:extLst>
              <a:ext uri="{FF2B5EF4-FFF2-40B4-BE49-F238E27FC236}">
                <a16:creationId xmlns:a16="http://schemas.microsoft.com/office/drawing/2014/main" id="{00000000-0008-0000-0000-000099000000}"/>
              </a:ext>
            </a:extLst>
          </xdr:cNvPr>
          <xdr:cNvSpPr/>
        </xdr:nvSpPr>
        <xdr:spPr>
          <a:xfrm>
            <a:off x="10155179" y="3562350"/>
            <a:ext cx="654286" cy="376646"/>
          </a:xfrm>
          <a:prstGeom prst="roundRect">
            <a:avLst/>
          </a:prstGeom>
          <a:solidFill>
            <a:schemeClr val="bg1"/>
          </a:solidFill>
          <a:ln w="19050">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13551D8-58C0-4FD6-B827-1EE29436DD72}" type="TxLink">
              <a:rPr lang="en-US" sz="800" b="0" i="0" u="none" strike="noStrike">
                <a:solidFill>
                  <a:schemeClr val="accent6">
                    <a:lumMod val="75000"/>
                  </a:schemeClr>
                </a:solidFill>
                <a:latin typeface="Century Gothic"/>
              </a:rPr>
              <a:pPr algn="ctr"/>
              <a:t>All Beds
79 - 50.6%</a:t>
            </a:fld>
            <a:endParaRPr lang="en-US" sz="500" b="0">
              <a:solidFill>
                <a:schemeClr val="accent6">
                  <a:lumMod val="75000"/>
                </a:schemeClr>
              </a:solidFill>
            </a:endParaRPr>
          </a:p>
        </xdr:txBody>
      </xdr:sp>
      <xdr:sp macro="" textlink="Chart!G60">
        <xdr:nvSpPr>
          <xdr:cNvPr id="154" name="Rounded Rectangle 153">
            <a:extLst>
              <a:ext uri="{FF2B5EF4-FFF2-40B4-BE49-F238E27FC236}">
                <a16:creationId xmlns:a16="http://schemas.microsoft.com/office/drawing/2014/main" id="{00000000-0008-0000-0000-00009A000000}"/>
              </a:ext>
            </a:extLst>
          </xdr:cNvPr>
          <xdr:cNvSpPr/>
        </xdr:nvSpPr>
        <xdr:spPr>
          <a:xfrm>
            <a:off x="10905490" y="3562350"/>
            <a:ext cx="635998" cy="376646"/>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BC0C853-FC2E-4966-9855-BFFA75D41AE8}" type="TxLink">
              <a:rPr lang="en-US" sz="800" b="0" i="0" u="none" strike="noStrike">
                <a:solidFill>
                  <a:schemeClr val="bg1"/>
                </a:solidFill>
                <a:latin typeface="Century Gothic"/>
              </a:rPr>
              <a:pPr algn="ctr"/>
              <a:t>Max COVID 
143 - 83.2%</a:t>
            </a:fld>
            <a:endParaRPr lang="en-US" sz="100" b="0">
              <a:solidFill>
                <a:schemeClr val="bg1"/>
              </a:solidFill>
            </a:endParaRPr>
          </a:p>
        </xdr:txBody>
      </xdr:sp>
      <xdr:sp macro="" textlink="Chart!G62">
        <xdr:nvSpPr>
          <xdr:cNvPr id="155" name="Rounded Rectangle 154">
            <a:extLst>
              <a:ext uri="{FF2B5EF4-FFF2-40B4-BE49-F238E27FC236}">
                <a16:creationId xmlns:a16="http://schemas.microsoft.com/office/drawing/2014/main" id="{00000000-0008-0000-0000-00009B000000}"/>
              </a:ext>
            </a:extLst>
          </xdr:cNvPr>
          <xdr:cNvSpPr/>
        </xdr:nvSpPr>
        <xdr:spPr>
          <a:xfrm>
            <a:off x="12284932" y="3562350"/>
            <a:ext cx="654286" cy="376646"/>
          </a:xfrm>
          <a:prstGeom prst="roundRect">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2F7B8FD4-DCA3-4A5B-B8EF-0FA267030854}" type="TxLink">
              <a:rPr lang="en-US" sz="800" b="0" i="0" u="none" strike="noStrike">
                <a:solidFill>
                  <a:schemeClr val="accent6">
                    <a:lumMod val="75000"/>
                  </a:schemeClr>
                </a:solidFill>
                <a:latin typeface="Century Gothic"/>
              </a:rPr>
              <a:pPr algn="ctr"/>
              <a:t>All Beds
222 - 53.6%</a:t>
            </a:fld>
            <a:endParaRPr lang="en-US" sz="300" b="0">
              <a:solidFill>
                <a:schemeClr val="accent6">
                  <a:lumMod val="75000"/>
                </a:schemeClr>
              </a:solidFill>
            </a:endParaRPr>
          </a:p>
        </xdr:txBody>
      </xdr:sp>
      <xdr:sp macro="" textlink="Chart!H49">
        <xdr:nvSpPr>
          <xdr:cNvPr id="156" name="Rounded Rectangle 155">
            <a:extLst>
              <a:ext uri="{FF2B5EF4-FFF2-40B4-BE49-F238E27FC236}">
                <a16:creationId xmlns:a16="http://schemas.microsoft.com/office/drawing/2014/main" id="{00000000-0008-0000-0000-00009C000000}"/>
              </a:ext>
            </a:extLst>
          </xdr:cNvPr>
          <xdr:cNvSpPr/>
        </xdr:nvSpPr>
        <xdr:spPr>
          <a:xfrm>
            <a:off x="13045073" y="3562350"/>
            <a:ext cx="635998" cy="376646"/>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008F93B-B8DB-419A-A6BD-F1C08E64F892}" type="TxLink">
              <a:rPr lang="en-US" sz="800" b="0" i="0" u="none" strike="noStrike">
                <a:solidFill>
                  <a:schemeClr val="bg1"/>
                </a:solidFill>
                <a:latin typeface="Century Gothic"/>
              </a:rPr>
              <a:pPr algn="ctr"/>
              <a:t>Max COVID 
40 - 100.0%</a:t>
            </a:fld>
            <a:endParaRPr lang="en-US" sz="300" b="0">
              <a:solidFill>
                <a:schemeClr val="bg1"/>
              </a:solidFill>
            </a:endParaRPr>
          </a:p>
        </xdr:txBody>
      </xdr:sp>
      <xdr:sp macro="" textlink="Chart!H51">
        <xdr:nvSpPr>
          <xdr:cNvPr id="157" name="Rounded Rectangle 156">
            <a:extLst>
              <a:ext uri="{FF2B5EF4-FFF2-40B4-BE49-F238E27FC236}">
                <a16:creationId xmlns:a16="http://schemas.microsoft.com/office/drawing/2014/main" id="{00000000-0008-0000-0000-00009D000000}"/>
              </a:ext>
            </a:extLst>
          </xdr:cNvPr>
          <xdr:cNvSpPr/>
        </xdr:nvSpPr>
        <xdr:spPr>
          <a:xfrm>
            <a:off x="14420433" y="3562350"/>
            <a:ext cx="654285" cy="376646"/>
          </a:xfrm>
          <a:prstGeom prst="roundRect">
            <a:avLst/>
          </a:prstGeom>
          <a:solidFill>
            <a:schemeClr val="bg1"/>
          </a:solidFill>
          <a:ln w="19050">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41F2B54-5FCB-4D35-9257-C4CAFA7755A5}" type="TxLink">
              <a:rPr lang="en-US" sz="800" b="0" i="0" u="none" strike="noStrike">
                <a:solidFill>
                  <a:schemeClr val="accent4">
                    <a:lumMod val="50000"/>
                  </a:schemeClr>
                </a:solidFill>
                <a:latin typeface="Century Gothic"/>
              </a:rPr>
              <a:pPr algn="ctr"/>
              <a:t>All Beds
79 - 50.6%</a:t>
            </a:fld>
            <a:endParaRPr lang="en-US" sz="300" b="0">
              <a:solidFill>
                <a:schemeClr val="accent4">
                  <a:lumMod val="50000"/>
                </a:schemeClr>
              </a:solidFill>
            </a:endParaRPr>
          </a:p>
        </xdr:txBody>
      </xdr:sp>
      <xdr:sp macro="" textlink="Chart!H60">
        <xdr:nvSpPr>
          <xdr:cNvPr id="158" name="Rounded Rectangle 157">
            <a:extLst>
              <a:ext uri="{FF2B5EF4-FFF2-40B4-BE49-F238E27FC236}">
                <a16:creationId xmlns:a16="http://schemas.microsoft.com/office/drawing/2014/main" id="{00000000-0008-0000-0000-00009E000000}"/>
              </a:ext>
            </a:extLst>
          </xdr:cNvPr>
          <xdr:cNvSpPr/>
        </xdr:nvSpPr>
        <xdr:spPr>
          <a:xfrm>
            <a:off x="15170134" y="3562350"/>
            <a:ext cx="635998" cy="376646"/>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4A5798F-9A4C-4DAE-A4C2-D5F82CFC3011}" type="TxLink">
              <a:rPr lang="en-US" sz="800" b="0" i="0" u="none" strike="noStrike">
                <a:solidFill>
                  <a:schemeClr val="bg1"/>
                </a:solidFill>
                <a:latin typeface="Century Gothic"/>
              </a:rPr>
              <a:pPr algn="ctr"/>
              <a:t>Max COVID 
143 - 97.2%</a:t>
            </a:fld>
            <a:endParaRPr lang="en-US" sz="100" b="0">
              <a:solidFill>
                <a:schemeClr val="bg1"/>
              </a:solidFill>
            </a:endParaRPr>
          </a:p>
        </xdr:txBody>
      </xdr:sp>
      <xdr:sp macro="" textlink="Chart!H62">
        <xdr:nvSpPr>
          <xdr:cNvPr id="159" name="Rounded Rectangle 158">
            <a:extLst>
              <a:ext uri="{FF2B5EF4-FFF2-40B4-BE49-F238E27FC236}">
                <a16:creationId xmlns:a16="http://schemas.microsoft.com/office/drawing/2014/main" id="{00000000-0008-0000-0000-00009F000000}"/>
              </a:ext>
            </a:extLst>
          </xdr:cNvPr>
          <xdr:cNvSpPr/>
        </xdr:nvSpPr>
        <xdr:spPr>
          <a:xfrm>
            <a:off x="16550490" y="3562350"/>
            <a:ext cx="654286" cy="376646"/>
          </a:xfrm>
          <a:prstGeom prst="roundRect">
            <a:avLst/>
          </a:prstGeom>
          <a:solidFill>
            <a:schemeClr val="bg1"/>
          </a:solidFill>
          <a:ln w="19050">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142F8AB-6659-49BB-A29D-001E908A3F52}" type="TxLink">
              <a:rPr lang="en-US" sz="800" b="0" i="0" u="none" strike="noStrike">
                <a:solidFill>
                  <a:schemeClr val="accent4"/>
                </a:solidFill>
                <a:latin typeface="Century Gothic"/>
              </a:rPr>
              <a:pPr algn="ctr"/>
              <a:t>All Beds
222 - 62.6%</a:t>
            </a:fld>
            <a:endParaRPr lang="en-US" sz="100" b="0">
              <a:solidFill>
                <a:schemeClr val="accent4"/>
              </a:solidFill>
            </a:endParaRPr>
          </a:p>
        </xdr:txBody>
      </xdr:sp>
      <xdr:sp macro="" textlink="Chart!F48">
        <xdr:nvSpPr>
          <xdr:cNvPr id="160" name="Rounded Rectangle 159">
            <a:extLst>
              <a:ext uri="{FF2B5EF4-FFF2-40B4-BE49-F238E27FC236}">
                <a16:creationId xmlns:a16="http://schemas.microsoft.com/office/drawing/2014/main" id="{00000000-0008-0000-0000-0000A0000000}"/>
              </a:ext>
            </a:extLst>
          </xdr:cNvPr>
          <xdr:cNvSpPr/>
        </xdr:nvSpPr>
        <xdr:spPr>
          <a:xfrm>
            <a:off x="5170952" y="2109107"/>
            <a:ext cx="723965" cy="234043"/>
          </a:xfrm>
          <a:prstGeom prst="roundRect">
            <a:avLst/>
          </a:prstGeom>
          <a:solidFill>
            <a:schemeClr val="accent5">
              <a:lumMod val="50000"/>
            </a:schemeClr>
          </a:solid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2BC4482-1CFE-4F49-86F3-EC12D1456D0E}" type="TxLink">
              <a:rPr lang="en-US" sz="1400" b="1" i="0" u="none" strike="noStrike">
                <a:solidFill>
                  <a:schemeClr val="bg1"/>
                </a:solidFill>
                <a:latin typeface="Century Gothic"/>
              </a:rPr>
              <a:pPr algn="ctr"/>
              <a:t>16</a:t>
            </a:fld>
            <a:endParaRPr lang="en-US" sz="2400" b="1">
              <a:solidFill>
                <a:schemeClr val="bg1"/>
              </a:solidFill>
            </a:endParaRPr>
          </a:p>
        </xdr:txBody>
      </xdr:sp>
      <xdr:sp macro="" textlink="Chart!F59">
        <xdr:nvSpPr>
          <xdr:cNvPr id="161" name="Rounded Rectangle 160">
            <a:extLst>
              <a:ext uri="{FF2B5EF4-FFF2-40B4-BE49-F238E27FC236}">
                <a16:creationId xmlns:a16="http://schemas.microsoft.com/office/drawing/2014/main" id="{00000000-0008-0000-0000-0000A1000000}"/>
              </a:ext>
            </a:extLst>
          </xdr:cNvPr>
          <xdr:cNvSpPr/>
        </xdr:nvSpPr>
        <xdr:spPr>
          <a:xfrm>
            <a:off x="7308001" y="2109107"/>
            <a:ext cx="717161" cy="234043"/>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8541DC8-B7BB-4193-A89A-897913851AC3}" type="TxLink">
              <a:rPr lang="en-US" sz="1400" b="1" i="0" u="none" strike="noStrike">
                <a:solidFill>
                  <a:schemeClr val="bg1"/>
                </a:solidFill>
                <a:latin typeface="Century Gothic"/>
              </a:rPr>
              <a:pPr algn="ctr"/>
              <a:t>89</a:t>
            </a:fld>
            <a:endParaRPr lang="en-US" sz="3600" b="1">
              <a:solidFill>
                <a:schemeClr val="bg1"/>
              </a:solidFill>
            </a:endParaRPr>
          </a:p>
        </xdr:txBody>
      </xdr:sp>
      <xdr:sp macro="" textlink="Chart!G48">
        <xdr:nvSpPr>
          <xdr:cNvPr id="162" name="Rounded Rectangle 161">
            <a:extLst>
              <a:ext uri="{FF2B5EF4-FFF2-40B4-BE49-F238E27FC236}">
                <a16:creationId xmlns:a16="http://schemas.microsoft.com/office/drawing/2014/main" id="{00000000-0008-0000-0000-0000A2000000}"/>
              </a:ext>
            </a:extLst>
          </xdr:cNvPr>
          <xdr:cNvSpPr/>
        </xdr:nvSpPr>
        <xdr:spPr>
          <a:xfrm>
            <a:off x="9438245" y="2109107"/>
            <a:ext cx="713079" cy="234043"/>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0C1A10C-8186-400A-8542-D65DB9CD8E35}" type="TxLink">
              <a:rPr lang="en-US" sz="1400" b="1" i="0" u="none" strike="noStrike">
                <a:solidFill>
                  <a:schemeClr val="bg1"/>
                </a:solidFill>
                <a:latin typeface="Century Gothic"/>
              </a:rPr>
              <a:pPr algn="ctr"/>
              <a:t>40</a:t>
            </a:fld>
            <a:endParaRPr lang="en-US" sz="2400" b="1">
              <a:solidFill>
                <a:schemeClr val="bg1"/>
              </a:solidFill>
            </a:endParaRPr>
          </a:p>
        </xdr:txBody>
      </xdr:sp>
      <xdr:sp macro="" textlink="Chart!G59">
        <xdr:nvSpPr>
          <xdr:cNvPr id="163" name="Rounded Rectangle 162">
            <a:extLst>
              <a:ext uri="{FF2B5EF4-FFF2-40B4-BE49-F238E27FC236}">
                <a16:creationId xmlns:a16="http://schemas.microsoft.com/office/drawing/2014/main" id="{00000000-0008-0000-0000-0000A3000000}"/>
              </a:ext>
            </a:extLst>
          </xdr:cNvPr>
          <xdr:cNvSpPr/>
        </xdr:nvSpPr>
        <xdr:spPr>
          <a:xfrm>
            <a:off x="11564408" y="2109107"/>
            <a:ext cx="717161" cy="234043"/>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1DA4B3F-6556-4E71-AD23-E0A08EF10626}" type="TxLink">
              <a:rPr lang="en-US" sz="1400" b="1" i="0" u="none" strike="noStrike">
                <a:solidFill>
                  <a:schemeClr val="bg1"/>
                </a:solidFill>
                <a:latin typeface="Century Gothic"/>
              </a:rPr>
              <a:pPr algn="ctr"/>
              <a:t>119</a:t>
            </a:fld>
            <a:endParaRPr lang="en-US" sz="3600" b="1">
              <a:solidFill>
                <a:schemeClr val="bg1"/>
              </a:solidFill>
            </a:endParaRPr>
          </a:p>
        </xdr:txBody>
      </xdr:sp>
      <xdr:sp macro="" textlink="Chart!H48">
        <xdr:nvSpPr>
          <xdr:cNvPr id="164" name="Rounded Rectangle 163">
            <a:extLst>
              <a:ext uri="{FF2B5EF4-FFF2-40B4-BE49-F238E27FC236}">
                <a16:creationId xmlns:a16="http://schemas.microsoft.com/office/drawing/2014/main" id="{00000000-0008-0000-0000-0000A4000000}"/>
              </a:ext>
            </a:extLst>
          </xdr:cNvPr>
          <xdr:cNvSpPr/>
        </xdr:nvSpPr>
        <xdr:spPr>
          <a:xfrm>
            <a:off x="13694653" y="2109107"/>
            <a:ext cx="713079" cy="234043"/>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4FA268E-9B72-4F4F-A678-206169FF6AC2}" type="TxLink">
              <a:rPr lang="en-US" sz="1400" b="1" i="0" u="none" strike="noStrike">
                <a:solidFill>
                  <a:schemeClr val="bg1"/>
                </a:solidFill>
                <a:latin typeface="Century Gothic"/>
              </a:rPr>
              <a:pPr algn="ctr"/>
              <a:t>40</a:t>
            </a:fld>
            <a:endParaRPr lang="en-US" sz="2400" b="1">
              <a:solidFill>
                <a:schemeClr val="bg1"/>
              </a:solidFill>
            </a:endParaRPr>
          </a:p>
        </xdr:txBody>
      </xdr:sp>
      <xdr:sp macro="" textlink="Chart!H59">
        <xdr:nvSpPr>
          <xdr:cNvPr id="165" name="Rounded Rectangle 164">
            <a:extLst>
              <a:ext uri="{FF2B5EF4-FFF2-40B4-BE49-F238E27FC236}">
                <a16:creationId xmlns:a16="http://schemas.microsoft.com/office/drawing/2014/main" id="{00000000-0008-0000-0000-0000A5000000}"/>
              </a:ext>
            </a:extLst>
          </xdr:cNvPr>
          <xdr:cNvSpPr/>
        </xdr:nvSpPr>
        <xdr:spPr>
          <a:xfrm>
            <a:off x="15820815" y="2109107"/>
            <a:ext cx="717161" cy="234043"/>
          </a:xfrm>
          <a:prstGeom prst="roundRect">
            <a:avLst/>
          </a:prstGeom>
          <a:solidFill>
            <a:schemeClr val="accent4"/>
          </a:solid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B2E72F8-3DC2-45F9-9C08-2C71BE9547DA}" type="TxLink">
              <a:rPr lang="en-US" sz="1400" b="1" i="0" u="none" strike="noStrike">
                <a:solidFill>
                  <a:schemeClr val="bg1"/>
                </a:solidFill>
                <a:latin typeface="Century Gothic"/>
              </a:rPr>
              <a:pPr algn="ctr"/>
              <a:t>139</a:t>
            </a:fld>
            <a:endParaRPr lang="en-US" sz="3600" b="1">
              <a:solidFill>
                <a:schemeClr val="bg1"/>
              </a:solidFill>
            </a:endParaRPr>
          </a:p>
        </xdr:txBody>
      </xdr:sp>
      <xdr:sp macro="" textlink="Chart!F63">
        <xdr:nvSpPr>
          <xdr:cNvPr id="166" name="Rounded Rectangle 165">
            <a:extLst>
              <a:ext uri="{FF2B5EF4-FFF2-40B4-BE49-F238E27FC236}">
                <a16:creationId xmlns:a16="http://schemas.microsoft.com/office/drawing/2014/main" id="{00000000-0008-0000-0000-0000A6000000}"/>
              </a:ext>
            </a:extLst>
          </xdr:cNvPr>
          <xdr:cNvSpPr/>
        </xdr:nvSpPr>
        <xdr:spPr>
          <a:xfrm>
            <a:off x="6114511" y="2109107"/>
            <a:ext cx="957931" cy="470091"/>
          </a:xfrm>
          <a:prstGeom prst="roundRect">
            <a:avLst/>
          </a:prstGeom>
          <a:solidFill>
            <a:schemeClr val="accent5"/>
          </a:solid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D3C551E-8F4D-49A3-BB6F-9815BD415E14}" type="TxLink">
              <a:rPr lang="en-US" sz="1200" b="1" i="0" u="none" strike="noStrike">
                <a:solidFill>
                  <a:schemeClr val="bg1"/>
                </a:solidFill>
                <a:latin typeface="Century Gothic"/>
              </a:rPr>
              <a:pPr algn="ctr"/>
              <a:t>Total COVID
105</a:t>
            </a:fld>
            <a:endParaRPr lang="en-US" sz="4800" b="1">
              <a:solidFill>
                <a:schemeClr val="bg1"/>
              </a:solidFill>
            </a:endParaRPr>
          </a:p>
        </xdr:txBody>
      </xdr:sp>
      <xdr:sp macro="" textlink="Chart!G63">
        <xdr:nvSpPr>
          <xdr:cNvPr id="168" name="Rounded Rectangle 167">
            <a:extLst>
              <a:ext uri="{FF2B5EF4-FFF2-40B4-BE49-F238E27FC236}">
                <a16:creationId xmlns:a16="http://schemas.microsoft.com/office/drawing/2014/main" id="{00000000-0008-0000-0000-0000A8000000}"/>
              </a:ext>
            </a:extLst>
          </xdr:cNvPr>
          <xdr:cNvSpPr/>
        </xdr:nvSpPr>
        <xdr:spPr>
          <a:xfrm>
            <a:off x="10381239" y="2109107"/>
            <a:ext cx="957932" cy="470091"/>
          </a:xfrm>
          <a:prstGeom prst="roundRect">
            <a:avLst/>
          </a:prstGeom>
          <a:solidFill>
            <a:schemeClr val="accent6"/>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92F0A265-80A3-4E84-8BC8-C62A0A346778}" type="TxLink">
              <a:rPr lang="en-US" sz="1200" b="1" i="0" u="none" strike="noStrike">
                <a:solidFill>
                  <a:schemeClr val="bg1"/>
                </a:solidFill>
                <a:latin typeface="Century Gothic"/>
              </a:rPr>
              <a:pPr algn="ctr"/>
              <a:t>Total COVID
159</a:t>
            </a:fld>
            <a:endParaRPr lang="en-US" sz="4800" b="1">
              <a:solidFill>
                <a:schemeClr val="bg1"/>
              </a:solidFill>
            </a:endParaRPr>
          </a:p>
        </xdr:txBody>
      </xdr:sp>
      <xdr:sp macro="" textlink="Chart!H63">
        <xdr:nvSpPr>
          <xdr:cNvPr id="169" name="Rounded Rectangle 168">
            <a:extLst>
              <a:ext uri="{FF2B5EF4-FFF2-40B4-BE49-F238E27FC236}">
                <a16:creationId xmlns:a16="http://schemas.microsoft.com/office/drawing/2014/main" id="{00000000-0008-0000-0000-0000A9000000}"/>
              </a:ext>
            </a:extLst>
          </xdr:cNvPr>
          <xdr:cNvSpPr/>
        </xdr:nvSpPr>
        <xdr:spPr>
          <a:xfrm>
            <a:off x="14637645" y="2109107"/>
            <a:ext cx="956037" cy="470091"/>
          </a:xfrm>
          <a:prstGeom prst="roundRect">
            <a:avLst/>
          </a:prstGeom>
          <a:solidFill>
            <a:schemeClr val="accent4">
              <a:lumMod val="50000"/>
            </a:schemeClr>
          </a:soli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A0EDAA9-5BAD-49C0-ABE9-EBA056BCAFA1}" type="TxLink">
              <a:rPr lang="en-US" sz="1200" b="1" i="0" u="none" strike="noStrike">
                <a:solidFill>
                  <a:schemeClr val="bg1"/>
                </a:solidFill>
                <a:latin typeface="Century Gothic"/>
              </a:rPr>
              <a:pPr algn="ctr"/>
              <a:t>Total COVID
179</a:t>
            </a:fld>
            <a:endParaRPr lang="en-US" sz="4800" b="1">
              <a:solidFill>
                <a:schemeClr val="bg1"/>
              </a:solidFill>
            </a:endParaRPr>
          </a:p>
        </xdr:txBody>
      </xdr:sp>
      <xdr:sp macro="" textlink="Chart!E50">
        <xdr:nvSpPr>
          <xdr:cNvPr id="64" name="Rounded Rectangle 142">
            <a:extLst>
              <a:ext uri="{FF2B5EF4-FFF2-40B4-BE49-F238E27FC236}">
                <a16:creationId xmlns:a16="http://schemas.microsoft.com/office/drawing/2014/main" id="{246AABE9-BED0-47FC-8218-C0DBD90E8AA4}"/>
              </a:ext>
            </a:extLst>
          </xdr:cNvPr>
          <xdr:cNvSpPr/>
        </xdr:nvSpPr>
        <xdr:spPr>
          <a:xfrm>
            <a:off x="920855" y="3562350"/>
            <a:ext cx="640080" cy="376646"/>
          </a:xfrm>
          <a:prstGeom prst="roundRect">
            <a:avLst/>
          </a:prstGeom>
          <a:pattFill prst="pct10">
            <a:fgClr>
              <a:schemeClr val="accent1">
                <a:lumMod val="50000"/>
              </a:schemeClr>
            </a:fgClr>
            <a:bgClr>
              <a:schemeClr val="bg1"/>
            </a:bgClr>
          </a:patt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2276CB9-DCC9-466E-9A98-E453863DB2A0}" type="TxLink">
              <a:rPr lang="en-US" sz="800" b="0" i="0" u="none" strike="noStrike">
                <a:solidFill>
                  <a:schemeClr val="accent1">
                    <a:lumMod val="50000"/>
                  </a:schemeClr>
                </a:solidFill>
                <a:latin typeface="Century Gothic"/>
              </a:rPr>
              <a:pPr algn="ctr"/>
              <a:t>Crisis COVID 
40 - 40.0%</a:t>
            </a:fld>
            <a:endParaRPr lang="en-US" sz="700" b="0">
              <a:solidFill>
                <a:schemeClr val="accent1">
                  <a:lumMod val="50000"/>
                </a:schemeClr>
              </a:solidFill>
            </a:endParaRPr>
          </a:p>
        </xdr:txBody>
      </xdr:sp>
      <xdr:sp macro="" textlink="Chart!F50">
        <xdr:nvSpPr>
          <xdr:cNvPr id="66" name="Rounded Rectangle 147">
            <a:extLst>
              <a:ext uri="{FF2B5EF4-FFF2-40B4-BE49-F238E27FC236}">
                <a16:creationId xmlns:a16="http://schemas.microsoft.com/office/drawing/2014/main" id="{7A6D6C17-783C-4335-A90F-367E9A1284D3}"/>
              </a:ext>
            </a:extLst>
          </xdr:cNvPr>
          <xdr:cNvSpPr/>
        </xdr:nvSpPr>
        <xdr:spPr>
          <a:xfrm>
            <a:off x="5203867" y="3562350"/>
            <a:ext cx="646884" cy="376646"/>
          </a:xfrm>
          <a:prstGeom prst="roundRect">
            <a:avLst/>
          </a:prstGeom>
          <a:pattFill prst="pct5">
            <a:fgClr>
              <a:schemeClr val="accent5">
                <a:lumMod val="50000"/>
              </a:schemeClr>
            </a:fgClr>
            <a:bgClr>
              <a:schemeClr val="bg1"/>
            </a:bgClr>
          </a:pattFill>
          <a:ln>
            <a:solidFill>
              <a:schemeClr val="accent5">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26D4E6D-D9C2-4C7C-9F87-741B2FD8E0EE}" type="TxLink">
              <a:rPr lang="en-US" sz="800" b="0" i="0" u="none" strike="noStrike">
                <a:solidFill>
                  <a:schemeClr val="accent5">
                    <a:lumMod val="50000"/>
                  </a:schemeClr>
                </a:solidFill>
                <a:latin typeface="Century Gothic"/>
              </a:rPr>
              <a:pPr algn="ctr"/>
              <a:t>Crisis COVID 
40 - 40.0%</a:t>
            </a:fld>
            <a:endParaRPr lang="en-US" sz="300" b="0">
              <a:solidFill>
                <a:schemeClr val="accent5">
                  <a:lumMod val="50000"/>
                </a:schemeClr>
              </a:solidFill>
            </a:endParaRPr>
          </a:p>
        </xdr:txBody>
      </xdr:sp>
      <xdr:sp macro="" textlink="Chart!G50">
        <xdr:nvSpPr>
          <xdr:cNvPr id="67" name="Rounded Rectangle 151">
            <a:extLst>
              <a:ext uri="{FF2B5EF4-FFF2-40B4-BE49-F238E27FC236}">
                <a16:creationId xmlns:a16="http://schemas.microsoft.com/office/drawing/2014/main" id="{4D4B6BC5-7C9F-4BC7-8836-CF1E5FCCB3A6}"/>
              </a:ext>
            </a:extLst>
          </xdr:cNvPr>
          <xdr:cNvSpPr/>
        </xdr:nvSpPr>
        <xdr:spPr>
          <a:xfrm>
            <a:off x="9467346" y="3562350"/>
            <a:ext cx="635998" cy="376646"/>
          </a:xfrm>
          <a:prstGeom prst="roundRect">
            <a:avLst/>
          </a:prstGeom>
          <a:pattFill prst="pct5">
            <a:fgClr>
              <a:schemeClr val="accent6">
                <a:lumMod val="75000"/>
              </a:schemeClr>
            </a:fgClr>
            <a:bgClr>
              <a:schemeClr val="bg1"/>
            </a:bgClr>
          </a:patt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2E46A6C-772A-4274-A1C0-65E6EA7F5A93}" type="TxLink">
              <a:rPr lang="en-US" sz="800" b="0" i="0" u="none" strike="noStrike">
                <a:solidFill>
                  <a:schemeClr val="accent6">
                    <a:lumMod val="50000"/>
                  </a:schemeClr>
                </a:solidFill>
                <a:latin typeface="Century Gothic"/>
              </a:rPr>
              <a:pPr algn="ctr"/>
              <a:t>Crisis COVID 
40 - 100.0%</a:t>
            </a:fld>
            <a:endParaRPr lang="en-US" sz="300" b="0">
              <a:solidFill>
                <a:schemeClr val="accent6">
                  <a:lumMod val="50000"/>
                </a:schemeClr>
              </a:solidFill>
            </a:endParaRPr>
          </a:p>
        </xdr:txBody>
      </xdr:sp>
      <xdr:sp macro="" textlink="Chart!H50">
        <xdr:nvSpPr>
          <xdr:cNvPr id="68" name="Rounded Rectangle 155">
            <a:extLst>
              <a:ext uri="{FF2B5EF4-FFF2-40B4-BE49-F238E27FC236}">
                <a16:creationId xmlns:a16="http://schemas.microsoft.com/office/drawing/2014/main" id="{2069A0E6-FE8F-4A09-A40D-09561031F476}"/>
              </a:ext>
            </a:extLst>
          </xdr:cNvPr>
          <xdr:cNvSpPr/>
        </xdr:nvSpPr>
        <xdr:spPr>
          <a:xfrm>
            <a:off x="13732753" y="3562350"/>
            <a:ext cx="635998" cy="376646"/>
          </a:xfrm>
          <a:prstGeom prst="roundRect">
            <a:avLst/>
          </a:prstGeom>
          <a:pattFill prst="pct5">
            <a:fgClr>
              <a:schemeClr val="accent4">
                <a:lumMod val="50000"/>
              </a:schemeClr>
            </a:fgClr>
            <a:bgClr>
              <a:schemeClr val="bg1"/>
            </a:bgClr>
          </a:patt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F4019185-040D-4407-B861-F2D6F63C357A}" type="TxLink">
              <a:rPr lang="en-US" sz="800" b="0" i="0" u="none" strike="noStrike">
                <a:solidFill>
                  <a:schemeClr val="accent4">
                    <a:lumMod val="50000"/>
                  </a:schemeClr>
                </a:solidFill>
                <a:latin typeface="Century Gothic"/>
              </a:rPr>
              <a:pPr algn="ctr"/>
              <a:t>Crisis COVID 
40 - 100.0%</a:t>
            </a:fld>
            <a:endParaRPr lang="en-US" sz="100" b="0">
              <a:solidFill>
                <a:schemeClr val="accent4">
                  <a:lumMod val="50000"/>
                </a:schemeClr>
              </a:solidFill>
            </a:endParaRPr>
          </a:p>
        </xdr:txBody>
      </xdr:sp>
      <xdr:sp macro="" textlink="Chart!E61">
        <xdr:nvSpPr>
          <xdr:cNvPr id="69" name="Rounded Rectangle 144">
            <a:extLst>
              <a:ext uri="{FF2B5EF4-FFF2-40B4-BE49-F238E27FC236}">
                <a16:creationId xmlns:a16="http://schemas.microsoft.com/office/drawing/2014/main" id="{72E111D7-1215-4DE6-8620-D80BF5752400}"/>
              </a:ext>
            </a:extLst>
          </xdr:cNvPr>
          <xdr:cNvSpPr/>
        </xdr:nvSpPr>
        <xdr:spPr>
          <a:xfrm>
            <a:off x="3065880" y="3562350"/>
            <a:ext cx="640080" cy="376646"/>
          </a:xfrm>
          <a:prstGeom prst="roundRect">
            <a:avLst/>
          </a:prstGeom>
          <a:pattFill prst="pct5">
            <a:fgClr>
              <a:schemeClr val="accent1"/>
            </a:fgClr>
            <a:bgClr>
              <a:schemeClr val="bg1"/>
            </a:bgClr>
          </a:patt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389CF61-EC9E-48F9-83B8-E00D2657A2B2}" type="TxLink">
              <a:rPr lang="en-US" sz="800" b="0" i="0" u="none" strike="noStrike">
                <a:solidFill>
                  <a:schemeClr val="accent1"/>
                </a:solidFill>
                <a:latin typeface="Century Gothic"/>
              </a:rPr>
              <a:pPr algn="ctr"/>
              <a:t>Crisis COVID 
143 - 41.3%</a:t>
            </a:fld>
            <a:endParaRPr lang="en-US" sz="100" b="0">
              <a:solidFill>
                <a:schemeClr val="accent1"/>
              </a:solidFill>
            </a:endParaRPr>
          </a:p>
        </xdr:txBody>
      </xdr:sp>
      <xdr:sp macro="" textlink="Chart!F61">
        <xdr:nvSpPr>
          <xdr:cNvPr id="70" name="Rounded Rectangle 149">
            <a:extLst>
              <a:ext uri="{FF2B5EF4-FFF2-40B4-BE49-F238E27FC236}">
                <a16:creationId xmlns:a16="http://schemas.microsoft.com/office/drawing/2014/main" id="{25C30B2F-9C55-4268-A865-7AAE639DE633}"/>
              </a:ext>
            </a:extLst>
          </xdr:cNvPr>
          <xdr:cNvSpPr/>
        </xdr:nvSpPr>
        <xdr:spPr>
          <a:xfrm>
            <a:off x="7341338" y="3562350"/>
            <a:ext cx="640080" cy="376646"/>
          </a:xfrm>
          <a:prstGeom prst="roundRect">
            <a:avLst/>
          </a:prstGeom>
          <a:pattFill prst="pct5">
            <a:fgClr>
              <a:schemeClr val="accent5"/>
            </a:fgClr>
            <a:bgClr>
              <a:schemeClr val="bg1"/>
            </a:bgClr>
          </a:pattFill>
          <a:ln>
            <a:solidFill>
              <a:schemeClr val="accent5"/>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628CBA2F-965A-47BB-9CA2-D6CE709E3E17}" type="TxLink">
              <a:rPr lang="en-US" sz="800" b="0" i="0" u="none" strike="noStrike">
                <a:solidFill>
                  <a:schemeClr val="accent5"/>
                </a:solidFill>
                <a:latin typeface="Century Gothic"/>
              </a:rPr>
              <a:pPr algn="ctr"/>
              <a:t>Crisis COVID 
143 - 62.2%</a:t>
            </a:fld>
            <a:endParaRPr lang="en-US" sz="100" b="0">
              <a:solidFill>
                <a:schemeClr val="accent5"/>
              </a:solidFill>
            </a:endParaRPr>
          </a:p>
        </xdr:txBody>
      </xdr:sp>
      <xdr:sp macro="" textlink="Chart!G61">
        <xdr:nvSpPr>
          <xdr:cNvPr id="71" name="Rounded Rectangle 153">
            <a:extLst>
              <a:ext uri="{FF2B5EF4-FFF2-40B4-BE49-F238E27FC236}">
                <a16:creationId xmlns:a16="http://schemas.microsoft.com/office/drawing/2014/main" id="{0AFFD101-9843-462F-868B-4A67E3FF6443}"/>
              </a:ext>
            </a:extLst>
          </xdr:cNvPr>
          <xdr:cNvSpPr/>
        </xdr:nvSpPr>
        <xdr:spPr>
          <a:xfrm>
            <a:off x="11593170" y="3562350"/>
            <a:ext cx="640080" cy="376646"/>
          </a:xfrm>
          <a:prstGeom prst="roundRect">
            <a:avLst/>
          </a:prstGeom>
          <a:pattFill prst="pct5">
            <a:fgClr>
              <a:schemeClr val="accent6"/>
            </a:fgClr>
            <a:bgClr>
              <a:schemeClr val="bg1"/>
            </a:bgClr>
          </a:patt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A2CD3A5-9DDD-4CDE-B8E5-2C1132428211}" type="TxLink">
              <a:rPr lang="en-US" sz="800" b="0" i="0" u="none" strike="noStrike">
                <a:solidFill>
                  <a:schemeClr val="accent6"/>
                </a:solidFill>
                <a:latin typeface="Century Gothic"/>
              </a:rPr>
              <a:pPr algn="ctr"/>
              <a:t>Crisis COVID 
143 - 83.2%</a:t>
            </a:fld>
            <a:endParaRPr lang="en-US" sz="100" b="0">
              <a:solidFill>
                <a:schemeClr val="accent6"/>
              </a:solidFill>
            </a:endParaRPr>
          </a:p>
        </xdr:txBody>
      </xdr:sp>
      <xdr:sp macro="" textlink="Chart!H61">
        <xdr:nvSpPr>
          <xdr:cNvPr id="72" name="Rounded Rectangle 157">
            <a:extLst>
              <a:ext uri="{FF2B5EF4-FFF2-40B4-BE49-F238E27FC236}">
                <a16:creationId xmlns:a16="http://schemas.microsoft.com/office/drawing/2014/main" id="{3BDBB88F-3A99-4FFE-8575-817EFEAC6807}"/>
              </a:ext>
            </a:extLst>
          </xdr:cNvPr>
          <xdr:cNvSpPr/>
        </xdr:nvSpPr>
        <xdr:spPr>
          <a:xfrm>
            <a:off x="15858271" y="3562350"/>
            <a:ext cx="640080" cy="376646"/>
          </a:xfrm>
          <a:prstGeom prst="roundRect">
            <a:avLst/>
          </a:prstGeom>
          <a:pattFill prst="pct5">
            <a:fgClr>
              <a:schemeClr val="accent4"/>
            </a:fgClr>
            <a:bgClr>
              <a:schemeClr val="bg1"/>
            </a:bgClr>
          </a:pattFill>
          <a:ln>
            <a:solidFill>
              <a:schemeClr val="accent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A79784F-3ED9-4DB6-8248-23F9519637C0}" type="TxLink">
              <a:rPr lang="en-US" sz="800" b="0" i="0" u="none" strike="noStrike">
                <a:solidFill>
                  <a:schemeClr val="accent4"/>
                </a:solidFill>
                <a:latin typeface="Century Gothic"/>
              </a:rPr>
              <a:pPr algn="ctr"/>
              <a:t>Crisis COVID 
143 - 97.2%</a:t>
            </a:fld>
            <a:endParaRPr lang="en-US" sz="100" b="0">
              <a:solidFill>
                <a:schemeClr val="accent4"/>
              </a:solidFill>
            </a:endParaRPr>
          </a:p>
        </xdr:txBody>
      </xdr:sp>
    </xdr:grpSp>
    <xdr:clientData/>
  </xdr:twoCellAnchor>
  <xdr:twoCellAnchor>
    <xdr:from>
      <xdr:col>0</xdr:col>
      <xdr:colOff>0</xdr:colOff>
      <xdr:row>21</xdr:row>
      <xdr:rowOff>19050</xdr:rowOff>
    </xdr:from>
    <xdr:to>
      <xdr:col>16</xdr:col>
      <xdr:colOff>847344</xdr:colOff>
      <xdr:row>27</xdr:row>
      <xdr:rowOff>100965</xdr:rowOff>
    </xdr:to>
    <xdr:grpSp>
      <xdr:nvGrpSpPr>
        <xdr:cNvPr id="15" name="Group 14">
          <a:extLst>
            <a:ext uri="{FF2B5EF4-FFF2-40B4-BE49-F238E27FC236}">
              <a16:creationId xmlns:a16="http://schemas.microsoft.com/office/drawing/2014/main" id="{27D013DB-F428-4DC1-AF2D-9FDD3D2C9F72}"/>
            </a:ext>
          </a:extLst>
        </xdr:cNvPr>
        <xdr:cNvGrpSpPr/>
      </xdr:nvGrpSpPr>
      <xdr:grpSpPr>
        <a:xfrm>
          <a:off x="0" y="3820583"/>
          <a:ext cx="18695077" cy="1065635"/>
          <a:chOff x="0" y="3962400"/>
          <a:chExt cx="17477994" cy="1110615"/>
        </a:xfrm>
      </xdr:grpSpPr>
      <mc:AlternateContent xmlns:mc="http://schemas.openxmlformats.org/markup-compatibility/2006" xmlns:sle15="http://schemas.microsoft.com/office/drawing/2012/slicer">
        <mc:Choice Requires="sle15">
          <xdr:graphicFrame macro="">
            <xdr:nvGraphicFramePr>
              <xdr:cNvPr id="4" name="Ramp Up COVID Status">
                <a:extLst>
                  <a:ext uri="{FF2B5EF4-FFF2-40B4-BE49-F238E27FC236}">
                    <a16:creationId xmlns:a16="http://schemas.microsoft.com/office/drawing/2014/main" id="{00000000-0008-0000-0000-000004000000}"/>
                  </a:ext>
                </a:extLst>
              </xdr:cNvPr>
              <xdr:cNvGraphicFramePr/>
            </xdr:nvGraphicFramePr>
            <xdr:xfrm>
              <a:off x="9861677" y="4524375"/>
              <a:ext cx="2514600" cy="548640"/>
            </xdr:xfrm>
            <a:graphic>
              <a:graphicData uri="http://schemas.microsoft.com/office/drawing/2010/slicer">
                <sle:slicer xmlns:sle="http://schemas.microsoft.com/office/drawing/2010/slicer" name="Ramp Up COVID Status"/>
              </a:graphicData>
            </a:graphic>
          </xdr:graphicFrame>
        </mc:Choice>
        <mc:Fallback xmlns="">
          <xdr:sp macro="" textlink="">
            <xdr:nvSpPr>
              <xdr:cNvPr id="0" name=""/>
              <xdr:cNvSpPr>
                <a:spLocks noTextEdit="1"/>
              </xdr:cNvSpPr>
            </xdr:nvSpPr>
            <xdr:spPr>
              <a:xfrm>
                <a:off x="9861677" y="4524375"/>
                <a:ext cx="2514600"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3" name="Baseline COVID Status">
                <a:extLst>
                  <a:ext uri="{FF2B5EF4-FFF2-40B4-BE49-F238E27FC236}">
                    <a16:creationId xmlns:a16="http://schemas.microsoft.com/office/drawing/2014/main" id="{00000000-0008-0000-0000-000003000000}"/>
                  </a:ext>
                </a:extLst>
              </xdr:cNvPr>
              <xdr:cNvGraphicFramePr/>
            </xdr:nvGraphicFramePr>
            <xdr:xfrm>
              <a:off x="7315200" y="4524375"/>
              <a:ext cx="2514600" cy="548640"/>
            </xdr:xfrm>
            <a:graphic>
              <a:graphicData uri="http://schemas.microsoft.com/office/drawing/2010/slicer">
                <sle:slicer xmlns:sle="http://schemas.microsoft.com/office/drawing/2010/slicer" name="Baseline COVID Status"/>
              </a:graphicData>
            </a:graphic>
          </xdr:graphicFrame>
        </mc:Choice>
        <mc:Fallback xmlns="">
          <xdr:sp macro="" textlink="">
            <xdr:nvSpPr>
              <xdr:cNvPr id="0" name=""/>
              <xdr:cNvSpPr>
                <a:spLocks noTextEdit="1"/>
              </xdr:cNvSpPr>
            </xdr:nvSpPr>
            <xdr:spPr>
              <a:xfrm>
                <a:off x="7315200" y="4524375"/>
                <a:ext cx="2514600"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5" name="Surge COVID Status">
                <a:extLst>
                  <a:ext uri="{FF2B5EF4-FFF2-40B4-BE49-F238E27FC236}">
                    <a16:creationId xmlns:a16="http://schemas.microsoft.com/office/drawing/2014/main" id="{00000000-0008-0000-0000-000005000000}"/>
                  </a:ext>
                </a:extLst>
              </xdr:cNvPr>
              <xdr:cNvGraphicFramePr/>
            </xdr:nvGraphicFramePr>
            <xdr:xfrm>
              <a:off x="12408154" y="4524375"/>
              <a:ext cx="2523744" cy="548640"/>
            </xdr:xfrm>
            <a:graphic>
              <a:graphicData uri="http://schemas.microsoft.com/office/drawing/2010/slicer">
                <sle:slicer xmlns:sle="http://schemas.microsoft.com/office/drawing/2010/slicer" name="Surge COVID Status"/>
              </a:graphicData>
            </a:graphic>
          </xdr:graphicFrame>
        </mc:Choice>
        <mc:Fallback xmlns="">
          <xdr:sp macro="" textlink="">
            <xdr:nvSpPr>
              <xdr:cNvPr id="0" name=""/>
              <xdr:cNvSpPr>
                <a:spLocks noTextEdit="1"/>
              </xdr:cNvSpPr>
            </xdr:nvSpPr>
            <xdr:spPr>
              <a:xfrm>
                <a:off x="12408154" y="4524375"/>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6" name="Next Up COVID Status">
                <a:extLst>
                  <a:ext uri="{FF2B5EF4-FFF2-40B4-BE49-F238E27FC236}">
                    <a16:creationId xmlns:a16="http://schemas.microsoft.com/office/drawing/2014/main" id="{00000000-0008-0000-0000-000006000000}"/>
                  </a:ext>
                </a:extLst>
              </xdr:cNvPr>
              <xdr:cNvGraphicFramePr/>
            </xdr:nvGraphicFramePr>
            <xdr:xfrm>
              <a:off x="14954250" y="4524375"/>
              <a:ext cx="2523744" cy="548640"/>
            </xdr:xfrm>
            <a:graphic>
              <a:graphicData uri="http://schemas.microsoft.com/office/drawing/2010/slicer">
                <sle:slicer xmlns:sle="http://schemas.microsoft.com/office/drawing/2010/slicer" name="Next Up COVID Status"/>
              </a:graphicData>
            </a:graphic>
          </xdr:graphicFrame>
        </mc:Choice>
        <mc:Fallback xmlns="">
          <xdr:sp macro="" textlink="">
            <xdr:nvSpPr>
              <xdr:cNvPr id="0" name=""/>
              <xdr:cNvSpPr>
                <a:spLocks noTextEdit="1"/>
              </xdr:cNvSpPr>
            </xdr:nvSpPr>
            <xdr:spPr>
              <a:xfrm>
                <a:off x="14954250" y="4524375"/>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2" name="Facility">
                <a:extLst>
                  <a:ext uri="{FF2B5EF4-FFF2-40B4-BE49-F238E27FC236}">
                    <a16:creationId xmlns:a16="http://schemas.microsoft.com/office/drawing/2014/main" id="{00000000-0008-0000-0000-000002000000}"/>
                  </a:ext>
                </a:extLst>
              </xdr:cNvPr>
              <xdr:cNvGraphicFramePr/>
            </xdr:nvGraphicFramePr>
            <xdr:xfrm>
              <a:off x="0" y="4524375"/>
              <a:ext cx="4126230" cy="548640"/>
            </xdr:xfrm>
            <a:graphic>
              <a:graphicData uri="http://schemas.microsoft.com/office/drawing/2010/slicer">
                <sle:slicer xmlns:sle="http://schemas.microsoft.com/office/drawing/2010/slicer" name="Facility"/>
              </a:graphicData>
            </a:graphic>
          </xdr:graphicFrame>
        </mc:Choice>
        <mc:Fallback xmlns="">
          <xdr:sp macro="" textlink="">
            <xdr:nvSpPr>
              <xdr:cNvPr id="0" name=""/>
              <xdr:cNvSpPr>
                <a:spLocks noTextEdit="1"/>
              </xdr:cNvSpPr>
            </xdr:nvSpPr>
            <xdr:spPr>
              <a:xfrm>
                <a:off x="0" y="4524375"/>
                <a:ext cx="4126230"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7" name="Baseline Type">
                <a:extLst>
                  <a:ext uri="{FF2B5EF4-FFF2-40B4-BE49-F238E27FC236}">
                    <a16:creationId xmlns:a16="http://schemas.microsoft.com/office/drawing/2014/main" id="{00000000-0008-0000-0000-000007000000}"/>
                  </a:ext>
                </a:extLst>
              </xdr:cNvPr>
              <xdr:cNvGraphicFramePr/>
            </xdr:nvGraphicFramePr>
            <xdr:xfrm>
              <a:off x="7315200" y="3962400"/>
              <a:ext cx="2523744" cy="548640"/>
            </xdr:xfrm>
            <a:graphic>
              <a:graphicData uri="http://schemas.microsoft.com/office/drawing/2010/slicer">
                <sle:slicer xmlns:sle="http://schemas.microsoft.com/office/drawing/2010/slicer" name="Baseline Type"/>
              </a:graphicData>
            </a:graphic>
          </xdr:graphicFrame>
        </mc:Choice>
        <mc:Fallback xmlns="">
          <xdr:sp macro="" textlink="">
            <xdr:nvSpPr>
              <xdr:cNvPr id="0" name=""/>
              <xdr:cNvSpPr>
                <a:spLocks noTextEdit="1"/>
              </xdr:cNvSpPr>
            </xdr:nvSpPr>
            <xdr:spPr>
              <a:xfrm>
                <a:off x="7315200" y="3962400"/>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9" name="Ramp Up Type">
                <a:extLst>
                  <a:ext uri="{FF2B5EF4-FFF2-40B4-BE49-F238E27FC236}">
                    <a16:creationId xmlns:a16="http://schemas.microsoft.com/office/drawing/2014/main" id="{00000000-0008-0000-0000-000009000000}"/>
                  </a:ext>
                </a:extLst>
              </xdr:cNvPr>
              <xdr:cNvGraphicFramePr/>
            </xdr:nvGraphicFramePr>
            <xdr:xfrm>
              <a:off x="9861550" y="3962400"/>
              <a:ext cx="2523744" cy="548640"/>
            </xdr:xfrm>
            <a:graphic>
              <a:graphicData uri="http://schemas.microsoft.com/office/drawing/2010/slicer">
                <sle:slicer xmlns:sle="http://schemas.microsoft.com/office/drawing/2010/slicer" name="Ramp Up Type"/>
              </a:graphicData>
            </a:graphic>
          </xdr:graphicFrame>
        </mc:Choice>
        <mc:Fallback xmlns="">
          <xdr:sp macro="" textlink="">
            <xdr:nvSpPr>
              <xdr:cNvPr id="0" name=""/>
              <xdr:cNvSpPr>
                <a:spLocks noTextEdit="1"/>
              </xdr:cNvSpPr>
            </xdr:nvSpPr>
            <xdr:spPr>
              <a:xfrm>
                <a:off x="9861550" y="3962400"/>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0" name="Surge Type">
                <a:extLst>
                  <a:ext uri="{FF2B5EF4-FFF2-40B4-BE49-F238E27FC236}">
                    <a16:creationId xmlns:a16="http://schemas.microsoft.com/office/drawing/2014/main" id="{00000000-0008-0000-0000-00000A000000}"/>
                  </a:ext>
                </a:extLst>
              </xdr:cNvPr>
              <xdr:cNvGraphicFramePr/>
            </xdr:nvGraphicFramePr>
            <xdr:xfrm>
              <a:off x="12407900" y="3962400"/>
              <a:ext cx="2523744" cy="548640"/>
            </xdr:xfrm>
            <a:graphic>
              <a:graphicData uri="http://schemas.microsoft.com/office/drawing/2010/slicer">
                <sle:slicer xmlns:sle="http://schemas.microsoft.com/office/drawing/2010/slicer" name="Surge Type"/>
              </a:graphicData>
            </a:graphic>
          </xdr:graphicFrame>
        </mc:Choice>
        <mc:Fallback xmlns="">
          <xdr:sp macro="" textlink="">
            <xdr:nvSpPr>
              <xdr:cNvPr id="0" name=""/>
              <xdr:cNvSpPr>
                <a:spLocks noTextEdit="1"/>
              </xdr:cNvSpPr>
            </xdr:nvSpPr>
            <xdr:spPr>
              <a:xfrm>
                <a:off x="12407900" y="3962400"/>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1" name="Next Up Type">
                <a:extLst>
                  <a:ext uri="{FF2B5EF4-FFF2-40B4-BE49-F238E27FC236}">
                    <a16:creationId xmlns:a16="http://schemas.microsoft.com/office/drawing/2014/main" id="{00000000-0008-0000-0000-00000B000000}"/>
                  </a:ext>
                </a:extLst>
              </xdr:cNvPr>
              <xdr:cNvGraphicFramePr/>
            </xdr:nvGraphicFramePr>
            <xdr:xfrm>
              <a:off x="14954250" y="3962400"/>
              <a:ext cx="2523744" cy="548640"/>
            </xdr:xfrm>
            <a:graphic>
              <a:graphicData uri="http://schemas.microsoft.com/office/drawing/2010/slicer">
                <sle:slicer xmlns:sle="http://schemas.microsoft.com/office/drawing/2010/slicer" name="Next Up Type"/>
              </a:graphicData>
            </a:graphic>
          </xdr:graphicFrame>
        </mc:Choice>
        <mc:Fallback xmlns="">
          <xdr:sp macro="" textlink="">
            <xdr:nvSpPr>
              <xdr:cNvPr id="0" name=""/>
              <xdr:cNvSpPr>
                <a:spLocks noTextEdit="1"/>
              </xdr:cNvSpPr>
            </xdr:nvSpPr>
            <xdr:spPr>
              <a:xfrm>
                <a:off x="14954250" y="3962400"/>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grp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1478280</xdr:colOff>
      <xdr:row>3</xdr:row>
      <xdr:rowOff>34290</xdr:rowOff>
    </xdr:to>
    <mc:AlternateContent xmlns:mc="http://schemas.openxmlformats.org/markup-compatibility/2006" xmlns:sle15="http://schemas.microsoft.com/office/drawing/2012/slicer">
      <mc:Choice Requires="sle15">
        <xdr:graphicFrame macro="">
          <xdr:nvGraphicFramePr>
            <xdr:cNvPr id="2" name="Facility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Facility 2"/>
            </a:graphicData>
          </a:graphic>
        </xdr:graphicFrame>
      </mc:Choice>
      <mc:Fallback xmlns="">
        <xdr:sp macro="" textlink="">
          <xdr:nvSpPr>
            <xdr:cNvPr id="0" name=""/>
            <xdr:cNvSpPr>
              <a:spLocks noTextEdit="1"/>
            </xdr:cNvSpPr>
          </xdr:nvSpPr>
          <xdr:spPr>
            <a:xfrm>
              <a:off x="0" y="0"/>
              <a:ext cx="4126230"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xdr:from>
      <xdr:col>3</xdr:col>
      <xdr:colOff>1482281</xdr:colOff>
      <xdr:row>0</xdr:row>
      <xdr:rowOff>0</xdr:rowOff>
    </xdr:from>
    <xdr:to>
      <xdr:col>4</xdr:col>
      <xdr:colOff>529400</xdr:colOff>
      <xdr:row>3</xdr:row>
      <xdr:rowOff>34290</xdr:rowOff>
    </xdr:to>
    <mc:AlternateContent xmlns:mc="http://schemas.openxmlformats.org/markup-compatibility/2006" xmlns:sle15="http://schemas.microsoft.com/office/drawing/2012/slicer">
      <mc:Choice Requires="sle15">
        <xdr:graphicFrame macro="">
          <xdr:nvGraphicFramePr>
            <xdr:cNvPr id="3" name="Max Type">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Max Type"/>
            </a:graphicData>
          </a:graphic>
        </xdr:graphicFrame>
      </mc:Choice>
      <mc:Fallback xmlns="">
        <xdr:sp macro="" textlink="">
          <xdr:nvSpPr>
            <xdr:cNvPr id="0" name=""/>
            <xdr:cNvSpPr>
              <a:spLocks noTextEdit="1"/>
            </xdr:cNvSpPr>
          </xdr:nvSpPr>
          <xdr:spPr>
            <a:xfrm>
              <a:off x="4130231" y="0"/>
              <a:ext cx="2523744"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xdr:from>
      <xdr:col>4</xdr:col>
      <xdr:colOff>523875</xdr:colOff>
      <xdr:row>0</xdr:row>
      <xdr:rowOff>0</xdr:rowOff>
    </xdr:from>
    <xdr:to>
      <xdr:col>9</xdr:col>
      <xdr:colOff>243840</xdr:colOff>
      <xdr:row>3</xdr:row>
      <xdr:rowOff>34290</xdr:rowOff>
    </xdr:to>
    <mc:AlternateContent xmlns:mc="http://schemas.openxmlformats.org/markup-compatibility/2006" xmlns:sle15="http://schemas.microsoft.com/office/drawing/2012/slicer">
      <mc:Choice Requires="sle15">
        <xdr:graphicFrame macro="">
          <xdr:nvGraphicFramePr>
            <xdr:cNvPr id="4" name="Max COVID Status">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Max COVID Status"/>
            </a:graphicData>
          </a:graphic>
        </xdr:graphicFrame>
      </mc:Choice>
      <mc:Fallback xmlns="">
        <xdr:sp macro="" textlink="">
          <xdr:nvSpPr>
            <xdr:cNvPr id="0" name=""/>
            <xdr:cNvSpPr>
              <a:spLocks noTextEdit="1"/>
            </xdr:cNvSpPr>
          </xdr:nvSpPr>
          <xdr:spPr>
            <a:xfrm>
              <a:off x="6648450" y="0"/>
              <a:ext cx="3291840" cy="5486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nia Burnette" refreshedDate="44166.853360069443" createdVersion="6" refreshedVersion="6" minRefreshableVersion="3" recordCount="5" xr:uid="{00000000-000A-0000-FFFF-FFFF00000000}">
  <cacheSource type="worksheet">
    <worksheetSource name="Table4"/>
  </cacheSource>
  <cacheFields count="1">
    <cacheField name="Facility" numFmtId="0">
      <sharedItems count="5">
        <s v="JHH"/>
        <s v="JHBMC"/>
        <s v="HCGH"/>
        <s v="Sibley"/>
        <s v="SH"/>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
  <r>
    <x v="0"/>
  </r>
  <r>
    <x v="1"/>
  </r>
  <r>
    <x v="2"/>
  </r>
  <r>
    <x v="3"/>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6" minRefreshableVersion="3" showDrill="0" rowGrandTotals="0" colGrandTotals="0" itemPrintTitles="1" createdVersion="6" indent="0" showHeaders="0" outline="1" outlineData="1" multipleFieldFilters="0">
  <location ref="P1:P5" firstHeaderRow="0" firstDataRow="0" firstDataCol="1"/>
  <pivotFields count="1">
    <pivotField axis="axisRow" showAll="0" defaultSubtotal="0">
      <items count="5">
        <item x="2"/>
        <item x="1"/>
        <item x="0"/>
        <item x="4"/>
        <item x="3"/>
      </items>
    </pivotField>
  </pivotFields>
  <rowFields count="1">
    <field x="0"/>
  </rowFields>
  <rowItems count="5">
    <i>
      <x/>
    </i>
    <i>
      <x v="1"/>
    </i>
    <i>
      <x v="2"/>
    </i>
    <i>
      <x v="3"/>
    </i>
    <i>
      <x v="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showDrill="0" rowGrandTotals="0" colGrandTotals="0" itemPrintTitles="1" createdVersion="6" indent="0" showHeaders="0" outline="1" outlineData="1" multipleFieldFilters="0">
  <location ref="N1" firstHeaderRow="0" firstDataRow="0" firstDataCol="1"/>
  <pivotFields count="1">
    <pivotField axis="axisRow" showAll="0" defaultSubtotal="0">
      <items count="5">
        <item x="2"/>
        <item h="1" x="1"/>
        <item h="1" x="0"/>
        <item h="1" x="4"/>
        <item h="1" x="3"/>
      </items>
    </pivotField>
  </pivotFields>
  <rowFields count="1">
    <field x="0"/>
  </rowFields>
  <rowItems count="1">
    <i>
      <x/>
    </i>
  </rowItems>
  <colItems count="1">
    <i/>
  </colItems>
  <pivotTableStyleInfo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1" xr10:uid="{00000000-0013-0000-FFFF-FFFF01000000}" sourceName="Facility">
  <pivotTables>
    <pivotTable tabId="3" name="PivotTable1"/>
  </pivotTables>
  <data>
    <tabular pivotCacheId="1">
      <items count="5">
        <i x="2" s="1"/>
        <i x="1"/>
        <i x="0"/>
        <i x="4"/>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3" xr10:uid="{00000000-0013-0000-FFFF-FFFF02000000}" sourceName="Facility">
  <pivotTables>
    <pivotTable tabId="3" name="PivotTable2"/>
  </pivotTables>
  <data>
    <tabular pivotCacheId="1">
      <items count="5">
        <i x="2" s="1"/>
        <i x="1"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 xr10:uid="{00000000-0013-0000-FFFF-FFFF03000000}" sourceName="Facility">
  <extLst>
    <x:ext xmlns:x15="http://schemas.microsoft.com/office/spreadsheetml/2010/11/main" uri="{2F2917AC-EB37-4324-AD4E-5DD8C200BD13}">
      <x15:tableSlicerCache tableId="1"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seline_COVID_Status" xr10:uid="{00000000-0013-0000-FFFF-FFFF04000000}" sourceName="Baseline COVID Status">
  <extLst>
    <x:ext xmlns:x15="http://schemas.microsoft.com/office/spreadsheetml/2010/11/main" uri="{2F2917AC-EB37-4324-AD4E-5DD8C200BD13}">
      <x15:tableSlicerCache tableId="1" column="17"/>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mp_Up_COVID_Status" xr10:uid="{00000000-0013-0000-FFFF-FFFF05000000}" sourceName="Ramp Up COVID Status">
  <extLst>
    <x:ext xmlns:x15="http://schemas.microsoft.com/office/spreadsheetml/2010/11/main" uri="{2F2917AC-EB37-4324-AD4E-5DD8C200BD13}">
      <x15:tableSlicerCache tableId="1" column="20"/>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ge_COVID_Status" xr10:uid="{00000000-0013-0000-FFFF-FFFF06000000}" sourceName="Surge COVID Status">
  <extLst>
    <x:ext xmlns:x15="http://schemas.microsoft.com/office/spreadsheetml/2010/11/main" uri="{2F2917AC-EB37-4324-AD4E-5DD8C200BD13}">
      <x15:tableSlicerCache tableId="1" column="23"/>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xt_Up_COVID_Status" xr10:uid="{00000000-0013-0000-FFFF-FFFF07000000}" sourceName="Next Up COVID Status">
  <extLst>
    <x:ext xmlns:x15="http://schemas.microsoft.com/office/spreadsheetml/2010/11/main" uri="{2F2917AC-EB37-4324-AD4E-5DD8C200BD13}">
      <x15:tableSlicerCache tableId="1" column="26"/>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seline_Type" xr10:uid="{00000000-0013-0000-FFFF-FFFF08000000}" sourceName="Baseline Type">
  <extLst>
    <x:ext xmlns:x15="http://schemas.microsoft.com/office/spreadsheetml/2010/11/main" uri="{2F2917AC-EB37-4324-AD4E-5DD8C200BD13}">
      <x15:tableSlicerCache tableId="1" column="16"/>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mp_Up_Type" xr10:uid="{00000000-0013-0000-FFFF-FFFF09000000}" sourceName="Ramp Up Type">
  <extLst>
    <x:ext xmlns:x15="http://schemas.microsoft.com/office/spreadsheetml/2010/11/main" uri="{2F2917AC-EB37-4324-AD4E-5DD8C200BD13}">
      <x15:tableSlicerCache tableId="1" column="19"/>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ge_Type" xr10:uid="{00000000-0013-0000-FFFF-FFFF0A000000}" sourceName="Surge Type">
  <extLst>
    <x:ext xmlns:x15="http://schemas.microsoft.com/office/spreadsheetml/2010/11/main" uri="{2F2917AC-EB37-4324-AD4E-5DD8C200BD13}">
      <x15:tableSlicerCache tableId="1" column="22"/>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xt_Up_Type" xr10:uid="{00000000-0013-0000-FFFF-FFFF0B000000}" sourceName="Next Up Type">
  <extLst>
    <x:ext xmlns:x15="http://schemas.microsoft.com/office/spreadsheetml/2010/11/main" uri="{2F2917AC-EB37-4324-AD4E-5DD8C200BD13}">
      <x15:tableSlicerCache tableId="1" column="25"/>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2" xr10:uid="{00000000-0013-0000-FFFF-FFFF0C000000}" sourceName="Facility">
  <extLst>
    <x:ext xmlns:x15="http://schemas.microsoft.com/office/spreadsheetml/2010/11/main" uri="{2F2917AC-EB37-4324-AD4E-5DD8C200BD13}">
      <x15:tableSlicerCache tableId="2" column="2"/>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x_Type" xr10:uid="{00000000-0013-0000-FFFF-FFFF0D000000}" sourceName="Max Type">
  <extLst>
    <x:ext xmlns:x15="http://schemas.microsoft.com/office/spreadsheetml/2010/11/main" uri="{2F2917AC-EB37-4324-AD4E-5DD8C200BD13}">
      <x15:tableSlicerCache tableId="2" column="16"/>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x_COVID_Status" xr10:uid="{00000000-0013-0000-FFFF-FFFF0E000000}" sourceName="Max COVID Status">
  <extLst>
    <x:ext xmlns:x15="http://schemas.microsoft.com/office/spreadsheetml/2010/11/main" uri="{2F2917AC-EB37-4324-AD4E-5DD8C200BD13}">
      <x15:tableSlicerCache tableId="2" column="1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3" xr10:uid="{00000000-0014-0000-FFFF-FFFF01000000}" cache="Slicer_Facility3" caption="Select Facility/Facilities for JHHS Gauges" columnCount="5" style="SlicerStyleDark1 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1" xr10:uid="{00000000-0014-0000-FFFF-FFFF02000000}" cache="Slicer_Facility1" caption="Select Facility/Facilities for Gauges" columnCount="5" style="SlicerStyleDark1"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xr10:uid="{00000000-0014-0000-FFFF-FFFF03000000}" cache="Slicer_Facility" caption="Select Facility/Facilities for Table" columnCount="5" style="SlicerStyleDark1" rowHeight="182880"/>
  <slicer name="Baseline COVID Status" xr10:uid="{00000000-0014-0000-FFFF-FFFF04000000}" cache="Slicer_Baseline_COVID_Status" caption="Baseline COVID Status" columnCount="3" style="SlicerStyleDark1" rowHeight="182880"/>
  <slicer name="Ramp Up COVID Status" xr10:uid="{00000000-0014-0000-FFFF-FFFF05000000}" cache="Slicer_Ramp_Up_COVID_Status" caption="Ramp Up COVID Status" columnCount="3" style="SlicerStyleDark5" rowHeight="182880"/>
  <slicer name="Surge COVID Status" xr10:uid="{00000000-0014-0000-FFFF-FFFF06000000}" cache="Slicer_Surge_COVID_Status" caption="Surge COVID Status" columnCount="3" style="SlicerStyleDark6" rowHeight="182880"/>
  <slicer name="Next Up COVID Status" xr10:uid="{00000000-0014-0000-FFFF-FFFF07000000}" cache="Slicer_Next_Up_COVID_Status" caption="Next Up COVID Status" columnCount="3" style="SlicerStyleDark4 2" rowHeight="182880"/>
  <slicer name="Baseline Type" xr10:uid="{00000000-0014-0000-FFFF-FFFF08000000}" cache="Slicer_Baseline_Type" caption="Baseline Bed Type" columnCount="3" style="SlicerStyleDark1" rowHeight="182880"/>
  <slicer name="Ramp Up Type" xr10:uid="{00000000-0014-0000-FFFF-FFFF09000000}" cache="Slicer_Ramp_Up_Type" caption="Ramp Up Bed Type" columnCount="3" style="SlicerStyleDark5" rowHeight="182880"/>
  <slicer name="Surge Type" xr10:uid="{00000000-0014-0000-FFFF-FFFF0A000000}" cache="Slicer_Surge_Type" caption="Surge Bed Type" columnCount="3" style="SlicerStyleDark6" rowHeight="182880"/>
  <slicer name="Next Up Type" xr10:uid="{00000000-0014-0000-FFFF-FFFF0B000000}" cache="Slicer_Next_Up_Type" caption="Next Up Bed Type" columnCount="3" style="SlicerStyleDark4 2"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2" xr10:uid="{00000000-0014-0000-FFFF-FFFF0C000000}" cache="Slicer_Facility2" caption="Facility" columnCount="5" style="SlicerStyleDark1" rowHeight="182880"/>
  <slicer name="Max Type" xr10:uid="{00000000-0014-0000-FFFF-FFFF0D000000}" cache="Slicer_Max_Type" caption="Max Bed Type" columnCount="3" style="SlicerStyleDark1" rowHeight="182880"/>
  <slicer name="Max COVID Status" xr10:uid="{00000000-0014-0000-FFFF-FFFF0E000000}" cache="Slicer_Max_COVID_Status" caption="Max COVID Status" columnCount="4" style="SlicerStyleDark1"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29:Q306" totalsRowCount="1" headerRowDxfId="80" dataDxfId="79" totalsRowDxfId="78">
  <autoFilter ref="A29:Q305" xr:uid="{00000000-0009-0000-0100-000001000000}">
    <filterColumn colId="0">
      <filters>
        <filter val="Sibley"/>
      </filters>
    </filterColumn>
    <filterColumn colId="5">
      <filters>
        <filter val="ICU"/>
      </filters>
    </filterColumn>
    <filterColumn colId="6">
      <filters>
        <filter val="COVID"/>
      </filters>
    </filterColumn>
  </autoFilter>
  <tableColumns count="17">
    <tableColumn id="2" xr3:uid="{00000000-0010-0000-0000-000002000000}" name="Facility" dataDxfId="77" totalsRowDxfId="76"/>
    <tableColumn id="3" xr3:uid="{00000000-0010-0000-0000-000003000000}" name="Unit" dataDxfId="75" totalsRowDxfId="74"/>
    <tableColumn id="4" xr3:uid="{00000000-0010-0000-0000-000004000000}" name="Attribute" dataDxfId="73" totalsRowDxfId="72"/>
    <tableColumn id="5" xr3:uid="{00000000-0010-0000-0000-000005000000}" name="Original Bed Type" dataDxfId="71" totalsRowDxfId="70"/>
    <tableColumn id="6" xr3:uid="{00000000-0010-0000-0000-000006000000}" name="Beds" totalsRowFunction="sum" dataDxfId="69" totalsRowDxfId="68"/>
    <tableColumn id="16" xr3:uid="{00000000-0010-0000-0000-000010000000}" name="Baseline Type" dataDxfId="67" totalsRowDxfId="66"/>
    <tableColumn id="17" xr3:uid="{00000000-0010-0000-0000-000011000000}" name="Baseline COVID Status" dataDxfId="65" totalsRowDxfId="64"/>
    <tableColumn id="18" xr3:uid="{00000000-0010-0000-0000-000012000000}" name="Baseline Bed Adjust" totalsRowFunction="custom" totalsRowDxfId="63">
      <totalsRowFormula>Data[[#Totals],[Beds]]+SUBTOTAL(109,Data[Baseline Bed Adjust])</totalsRowFormula>
    </tableColumn>
    <tableColumn id="19" xr3:uid="{00000000-0010-0000-0000-000013000000}" name="Ramp Up Type" dataDxfId="62" totalsRowDxfId="61"/>
    <tableColumn id="20" xr3:uid="{00000000-0010-0000-0000-000014000000}" name="Ramp Up COVID Status" dataDxfId="60" totalsRowDxfId="59"/>
    <tableColumn id="21" xr3:uid="{00000000-0010-0000-0000-000015000000}" name="Ramp Up Bed Adjust" totalsRowFunction="custom" totalsRowDxfId="58">
      <totalsRowFormula>Data[[#Totals],[Beds]]+SUBTOTAL(109,Data[Ramp Up Bed Adjust])</totalsRowFormula>
    </tableColumn>
    <tableColumn id="22" xr3:uid="{00000000-0010-0000-0000-000016000000}" name="Surge Type" dataDxfId="57" totalsRowDxfId="56"/>
    <tableColumn id="23" xr3:uid="{00000000-0010-0000-0000-000017000000}" name="Surge COVID Status" dataDxfId="55" totalsRowDxfId="54"/>
    <tableColumn id="24" xr3:uid="{00000000-0010-0000-0000-000018000000}" name="Surge Bed Adjust" totalsRowFunction="custom" totalsRowDxfId="53">
      <totalsRowFormula>Data[[#Totals],[Beds]]+SUBTOTAL(109,Data[Surge Bed Adjust])</totalsRowFormula>
    </tableColumn>
    <tableColumn id="25" xr3:uid="{00000000-0010-0000-0000-000019000000}" name="Next Up Type" dataDxfId="52" totalsRowDxfId="51"/>
    <tableColumn id="26" xr3:uid="{00000000-0010-0000-0000-00001A000000}" name="Next Up COVID Status" dataDxfId="50" totalsRowDxfId="49"/>
    <tableColumn id="27" xr3:uid="{00000000-0010-0000-0000-00001B000000}" name="Next Up Bed Adjust" totalsRowFunction="custom" totalsRowDxfId="48">
      <totalsRowFormula>Data[[#Totals],[Beds]]+SUBTOTAL(109,Data[Next Up Bed Adjust])</totalsRowFormula>
    </tableColumn>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Summary" displayName="Summary" ref="A1:J37" totalsRowCount="1" headerRowDxfId="47" dataDxfId="46" totalsRowDxfId="45">
  <autoFilter ref="A1:J36" xr:uid="{00000000-0009-0000-0100-000003000000}"/>
  <tableColumns count="10">
    <tableColumn id="1" xr3:uid="{00000000-0010-0000-0100-000001000000}" name="Facility" totalsRowLabel="Total" dataDxfId="44" totalsRowDxfId="43"/>
    <tableColumn id="2" xr3:uid="{00000000-0010-0000-0100-000002000000}" name="Visible" dataDxfId="42" totalsRowDxfId="41">
      <calculatedColumnFormula>IFERROR(MATCH(Summary[[#This Row],[Facility]],FOut,0),0)</calculatedColumnFormula>
    </tableColumn>
    <tableColumn id="3" xr3:uid="{00000000-0010-0000-0100-000003000000}" name="Type" dataDxfId="40" totalsRowDxfId="39"/>
    <tableColumn id="4" xr3:uid="{00000000-0010-0000-0100-000004000000}" name="Status" dataDxfId="38" totalsRowDxfId="37"/>
    <tableColumn id="5" xr3:uid="{00000000-0010-0000-0100-000005000000}" name="Baseline" totalsRowFunction="sum" dataDxfId="36" totalsRowDxfId="35">
      <calculatedColumnFormula>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calculatedColumnFormula>
    </tableColumn>
    <tableColumn id="6" xr3:uid="{00000000-0010-0000-0100-000006000000}" name="Ramp Up" totalsRowFunction="sum" dataDxfId="34" totalsRowDxfId="33">
      <calculatedColumnFormula>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calculatedColumnFormula>
    </tableColumn>
    <tableColumn id="7" xr3:uid="{00000000-0010-0000-0100-000007000000}" name="Surge" totalsRowFunction="sum" dataDxfId="32" totalsRowDxfId="31">
      <calculatedColumnFormula>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calculatedColumnFormula>
    </tableColumn>
    <tableColumn id="8" xr3:uid="{00000000-0010-0000-0100-000008000000}" name="Next Up" totalsRowFunction="sum" dataDxfId="30" totalsRowDxfId="29">
      <calculatedColumnFormula>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calculatedColumnFormula>
    </tableColumn>
    <tableColumn id="9" xr3:uid="{00000000-0010-0000-0100-000009000000}" name="Max" totalsRowFunction="sum" dataDxfId="28" totalsRowDxfId="27">
      <calculatedColumnFormula>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calculatedColumnFormula>
    </tableColumn>
    <tableColumn id="12" xr3:uid="{00000000-0010-0000-0100-00000C000000}" name="VisSum" dataDxfId="26" totalsRowDxfId="25">
      <calculatedColumnFormula>IFERROR(MATCH(Summary[[#This Row],[Facility]],F2Out,0),0)</calculatedColumnFormula>
    </tableColumn>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L1:L6" totalsRowShown="0">
  <autoFilter ref="L1:L6" xr:uid="{00000000-0009-0000-0100-000004000000}"/>
  <tableColumns count="1">
    <tableColumn id="1" xr3:uid="{00000000-0010-0000-0200-000001000000}" name="Facility"/>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MaxData" displayName="MaxData" ref="A5:J282" totalsRowCount="1" headerRowDxfId="22" dataDxfId="21" totalsRowDxfId="20">
  <autoFilter ref="A5:J281" xr:uid="{00000000-0009-0000-0100-000002000000}">
    <filterColumn colId="1">
      <filters>
        <filter val="SH"/>
      </filters>
    </filterColumn>
    <filterColumn colId="6">
      <filters>
        <filter val="Acute"/>
      </filters>
    </filterColumn>
    <filterColumn colId="7">
      <filters>
        <filter val="COVID"/>
      </filters>
    </filterColumn>
  </autoFilter>
  <tableColumns count="10">
    <tableColumn id="1" xr3:uid="{00000000-0010-0000-0300-000001000000}" name="Visible" totalsRowLabel="Totals" dataDxfId="19" totalsRowDxfId="18">
      <calculatedColumnFormula>_xlfn.AGGREGATE(3,5,MaxData[[#This Row],[Facility]])</calculatedColumnFormula>
    </tableColumn>
    <tableColumn id="2" xr3:uid="{00000000-0010-0000-0300-000002000000}" name="Facility" dataDxfId="17" totalsRowDxfId="16"/>
    <tableColumn id="3" xr3:uid="{00000000-0010-0000-0300-000003000000}" name="Unit" dataDxfId="15" totalsRowDxfId="14"/>
    <tableColumn id="4" xr3:uid="{00000000-0010-0000-0300-000004000000}" name="Attribute" dataDxfId="13" totalsRowDxfId="12"/>
    <tableColumn id="5" xr3:uid="{00000000-0010-0000-0300-000005000000}" name="Original Bed Type" dataDxfId="11" totalsRowDxfId="10"/>
    <tableColumn id="6" xr3:uid="{00000000-0010-0000-0300-000006000000}" name="Beds" totalsRowFunction="sum" dataDxfId="9" totalsRowDxfId="8"/>
    <tableColumn id="16" xr3:uid="{00000000-0010-0000-0300-000010000000}" name="Max Type" dataDxfId="7" totalsRowDxfId="6"/>
    <tableColumn id="17" xr3:uid="{00000000-0010-0000-0300-000011000000}" name="Max COVID Status" dataDxfId="5" totalsRowDxfId="4"/>
    <tableColumn id="18" xr3:uid="{00000000-0010-0000-0300-000012000000}" name="Max Bed Adjust" totalsRowFunction="custom" dataDxfId="3" totalsRowDxfId="2">
      <totalsRowFormula>MaxData[[#Totals],[Beds]]+SUBTOTAL(109,MaxData[Max Bed Adjust])</totalsRowFormula>
    </tableColumn>
    <tableColumn id="7" xr3:uid="{00000000-0010-0000-0300-000007000000}" name="Non" dataDxfId="1" totalsRowDxfId="0">
      <calculatedColumnFormula>IF(MaxData[[#This Row],[Max COVID Status]]="Non",1,IF(MaxData[[#This Row],[Max COVID Status]]="Crisis",2,0))</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lumMod val="50000"/>
          </a:schemeClr>
        </a:solidFill>
        <a:effectLst>
          <a:outerShdw blurRad="50800" dist="38100" dir="2700000" algn="tl" rotWithShape="0">
            <a:prstClr val="black">
              <a:alpha val="40000"/>
            </a:prstClr>
          </a:outerShdw>
        </a:effectLst>
      </a:spPr>
      <a:bodyPr vertOverflow="clip" horzOverflow="clip" rtlCol="0" anchor="ctr"/>
      <a:lstStyle>
        <a:defPPr algn="ctr">
          <a:defRPr sz="1400" b="1" i="0" u="none" strike="noStrike">
            <a:solidFill>
              <a:schemeClr val="bg1"/>
            </a:solidFill>
            <a:latin typeface="Century Gothic"/>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1.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2.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3.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4.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5.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6.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7.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8.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9.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0.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1.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2.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3.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4.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5.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6.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7.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8.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9.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0.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1.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2.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3.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4.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5.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6.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7.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8.xml><?xml version="1.0" encoding="utf-8"?>
<a:themeOverride xmlns:a="http://schemas.openxmlformats.org/drawingml/2006/main">
  <a:clrScheme name="JHU 1">
    <a:dk1>
      <a:sysClr val="windowText" lastClr="000000"/>
    </a:dk1>
    <a:lt1>
      <a:sysClr val="window" lastClr="FFFFFF"/>
    </a:lt1>
    <a:dk2>
      <a:srgbClr val="000000"/>
    </a:dk2>
    <a:lt2>
      <a:srgbClr val="D8D8D8"/>
    </a:lt2>
    <a:accent1>
      <a:srgbClr val="002D72"/>
    </a:accent1>
    <a:accent2>
      <a:srgbClr val="72ACE5"/>
    </a:accent2>
    <a:accent3>
      <a:srgbClr val="0072CE"/>
    </a:accent3>
    <a:accent4>
      <a:srgbClr val="009B77"/>
    </a:accent4>
    <a:accent5>
      <a:srgbClr val="F1C400"/>
    </a:accent5>
    <a:accent6>
      <a:srgbClr val="76232F"/>
    </a:accent6>
    <a:hlink>
      <a:srgbClr val="002D72"/>
    </a:hlink>
    <a:folHlink>
      <a:srgbClr val="72ACE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07/relationships/slicer" Target="../slicers/slicer3.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3.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
  <sheetViews>
    <sheetView topLeftCell="A2" workbookViewId="0"/>
  </sheetViews>
  <sheetFormatPr defaultColWidth="10.73046875" defaultRowHeight="13.15" x14ac:dyDescent="0.35"/>
  <cols>
    <col min="1" max="1" width="12.73046875" style="3" customWidth="1"/>
    <col min="2" max="2" width="20.73046875" style="1" customWidth="1"/>
    <col min="3" max="3" width="50.73046875" style="1" customWidth="1"/>
    <col min="4" max="17" width="12.73046875" style="1" customWidth="1"/>
    <col min="18" max="18" width="2.73046875" style="1" customWidth="1"/>
    <col min="19" max="16384" width="10.73046875" style="1"/>
  </cols>
  <sheetData>
    <row r="1" spans="1:17" ht="41.1" customHeight="1" x14ac:dyDescent="0.35">
      <c r="A1" s="14" t="s">
        <v>235</v>
      </c>
      <c r="B1" s="14"/>
      <c r="C1" s="14"/>
      <c r="D1" s="14"/>
      <c r="E1" s="14"/>
      <c r="F1" s="14"/>
      <c r="G1" s="14"/>
      <c r="H1" s="14"/>
    </row>
    <row r="10" spans="1:17" x14ac:dyDescent="0.35">
      <c r="A10" s="16"/>
      <c r="B10" s="15"/>
      <c r="C10" s="15"/>
      <c r="D10" s="15"/>
      <c r="E10" s="15"/>
      <c r="F10" s="15"/>
      <c r="G10" s="15"/>
      <c r="H10" s="15"/>
      <c r="I10" s="15"/>
      <c r="J10" s="15"/>
      <c r="K10" s="15"/>
      <c r="L10" s="15"/>
      <c r="M10" s="15"/>
      <c r="N10" s="15"/>
      <c r="O10" s="15"/>
      <c r="P10" s="15"/>
      <c r="Q10" s="15"/>
    </row>
    <row r="11" spans="1:17" x14ac:dyDescent="0.35">
      <c r="A11" s="16"/>
      <c r="B11" s="15"/>
      <c r="C11" s="15"/>
      <c r="D11" s="15"/>
      <c r="E11" s="15"/>
      <c r="F11" s="15"/>
      <c r="G11" s="15"/>
      <c r="H11" s="15"/>
      <c r="I11" s="15"/>
      <c r="J11" s="15"/>
      <c r="K11" s="15"/>
      <c r="L11" s="15"/>
      <c r="M11" s="15"/>
      <c r="N11" s="15"/>
      <c r="O11" s="15"/>
      <c r="P11" s="15"/>
      <c r="Q11" s="15"/>
    </row>
    <row r="12" spans="1:17" x14ac:dyDescent="0.35">
      <c r="A12" s="16"/>
      <c r="B12" s="15"/>
      <c r="C12" s="15"/>
      <c r="D12" s="15"/>
      <c r="E12" s="15"/>
      <c r="F12" s="15"/>
      <c r="G12" s="15"/>
      <c r="H12" s="15"/>
      <c r="I12" s="15"/>
      <c r="J12" s="15"/>
      <c r="K12" s="15"/>
      <c r="L12" s="15"/>
      <c r="M12" s="15"/>
      <c r="N12" s="15"/>
      <c r="O12" s="15"/>
      <c r="P12" s="15"/>
      <c r="Q12" s="15"/>
    </row>
    <row r="13" spans="1:17" x14ac:dyDescent="0.35">
      <c r="A13" s="16"/>
      <c r="B13" s="15"/>
      <c r="C13" s="15"/>
      <c r="D13" s="15"/>
      <c r="E13" s="15"/>
      <c r="F13" s="15"/>
      <c r="G13" s="15"/>
      <c r="H13" s="15"/>
      <c r="I13" s="15"/>
      <c r="J13" s="15"/>
      <c r="K13" s="15"/>
      <c r="L13" s="15"/>
      <c r="M13" s="15"/>
      <c r="N13" s="15"/>
      <c r="O13" s="15"/>
      <c r="P13" s="15"/>
      <c r="Q13" s="15"/>
    </row>
    <row r="14" spans="1:17" x14ac:dyDescent="0.35">
      <c r="A14" s="16"/>
      <c r="B14" s="15"/>
      <c r="C14" s="15"/>
      <c r="D14" s="15"/>
      <c r="E14" s="15"/>
      <c r="F14" s="15"/>
      <c r="G14" s="15"/>
      <c r="H14" s="15"/>
      <c r="I14" s="15"/>
      <c r="J14" s="15"/>
      <c r="K14" s="15"/>
      <c r="L14" s="15"/>
      <c r="M14" s="15"/>
      <c r="N14" s="15"/>
      <c r="O14" s="15"/>
      <c r="P14" s="15"/>
      <c r="Q14" s="15"/>
    </row>
    <row r="15" spans="1:17" x14ac:dyDescent="0.35">
      <c r="A15" s="16"/>
      <c r="B15" s="15"/>
      <c r="C15" s="15"/>
      <c r="D15" s="15"/>
      <c r="E15" s="15"/>
      <c r="F15" s="15"/>
      <c r="G15" s="15"/>
      <c r="H15" s="15"/>
      <c r="I15" s="15"/>
      <c r="J15" s="15"/>
      <c r="K15" s="15"/>
      <c r="L15" s="15"/>
      <c r="M15" s="15"/>
      <c r="N15" s="15"/>
      <c r="O15" s="15"/>
      <c r="P15" s="15"/>
      <c r="Q15" s="15"/>
    </row>
    <row r="16" spans="1:17" x14ac:dyDescent="0.35">
      <c r="A16" s="16"/>
      <c r="B16" s="15"/>
      <c r="C16" s="15"/>
      <c r="D16" s="15"/>
      <c r="E16" s="15"/>
      <c r="F16" s="15"/>
      <c r="G16" s="15"/>
      <c r="H16" s="15"/>
      <c r="I16" s="15"/>
      <c r="J16" s="15"/>
      <c r="K16" s="15"/>
      <c r="L16" s="15"/>
      <c r="M16" s="15"/>
      <c r="N16" s="15"/>
      <c r="O16" s="15"/>
      <c r="P16" s="15"/>
      <c r="Q16" s="15"/>
    </row>
    <row r="17" spans="1:17" x14ac:dyDescent="0.35">
      <c r="A17" s="16"/>
      <c r="B17" s="15"/>
      <c r="C17" s="15"/>
      <c r="D17" s="15"/>
      <c r="E17" s="15"/>
      <c r="F17" s="15"/>
      <c r="G17" s="15"/>
      <c r="H17" s="15"/>
      <c r="I17" s="15"/>
      <c r="J17" s="15"/>
      <c r="K17" s="15"/>
      <c r="L17" s="15"/>
      <c r="M17" s="15"/>
      <c r="N17" s="15"/>
      <c r="O17" s="15"/>
      <c r="P17" s="15"/>
      <c r="Q17" s="15"/>
    </row>
    <row r="18" spans="1:17" x14ac:dyDescent="0.35">
      <c r="A18" s="16"/>
      <c r="B18" s="15"/>
      <c r="C18" s="15"/>
      <c r="D18" s="15"/>
      <c r="E18" s="15"/>
      <c r="F18" s="15"/>
      <c r="G18" s="15"/>
      <c r="H18" s="15"/>
      <c r="I18" s="15"/>
      <c r="J18" s="15"/>
      <c r="K18" s="15"/>
      <c r="L18" s="15"/>
      <c r="M18" s="15"/>
      <c r="N18" s="15"/>
      <c r="O18" s="15"/>
      <c r="P18" s="15"/>
      <c r="Q18" s="15"/>
    </row>
    <row r="19" spans="1:17" x14ac:dyDescent="0.35">
      <c r="A19" s="16"/>
      <c r="B19" s="15"/>
      <c r="C19" s="15"/>
      <c r="D19" s="15"/>
      <c r="E19" s="15"/>
      <c r="F19" s="15"/>
      <c r="G19" s="15"/>
      <c r="H19" s="15"/>
      <c r="I19" s="15"/>
      <c r="J19" s="15"/>
      <c r="K19" s="15"/>
      <c r="L19" s="15"/>
      <c r="M19" s="15"/>
      <c r="N19" s="15"/>
      <c r="O19" s="15"/>
      <c r="P19" s="15"/>
      <c r="Q19" s="15"/>
    </row>
    <row r="20" spans="1:17" x14ac:dyDescent="0.35">
      <c r="A20" s="16"/>
      <c r="B20" s="15"/>
      <c r="C20" s="15"/>
      <c r="D20" s="15"/>
      <c r="E20" s="15"/>
      <c r="F20" s="15"/>
      <c r="G20" s="15"/>
      <c r="H20" s="15"/>
      <c r="I20" s="15"/>
      <c r="J20" s="15"/>
      <c r="K20" s="15"/>
      <c r="L20" s="15"/>
      <c r="M20" s="15"/>
      <c r="N20" s="15"/>
      <c r="O20" s="15"/>
      <c r="P20" s="15"/>
      <c r="Q20" s="15"/>
    </row>
  </sheetData>
  <sheetProtection autoFilter="0"/>
  <printOptions horizontalCentered="1"/>
  <pageMargins left="0.2" right="0.2" top="0.25" bottom="0.25" header="0" footer="0"/>
  <pageSetup scale="50" orientation="landscape" horizontalDpi="300" verticalDpi="300" r:id="rId1"/>
  <headerFooter>
    <oddHeader xml:space="preserve">&amp;C </oddHeader>
    <oddFooter xml:space="preserve">&amp;C </oddFooter>
  </headerFooter>
  <rowBreaks count="1" manualBreakCount="1">
    <brk id="76" max="17" man="1"/>
  </rowBreaks>
  <colBreaks count="1" manualBreakCount="1">
    <brk id="18" max="70" man="1"/>
  </colBreaks>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06"/>
  <sheetViews>
    <sheetView topLeftCell="H1" zoomScale="80" zoomScaleNormal="80" workbookViewId="0">
      <selection activeCell="A120" sqref="A120:XFD120"/>
    </sheetView>
  </sheetViews>
  <sheetFormatPr defaultColWidth="10.73046875" defaultRowHeight="13.15" x14ac:dyDescent="0.35"/>
  <cols>
    <col min="1" max="1" width="12.73046875" style="3" customWidth="1"/>
    <col min="2" max="2" width="20.73046875" style="1" customWidth="1"/>
    <col min="3" max="3" width="50.73046875" style="1" customWidth="1"/>
    <col min="4" max="17" width="12.73046875" style="1" customWidth="1"/>
    <col min="18" max="16384" width="10.73046875" style="1"/>
  </cols>
  <sheetData>
    <row r="1" spans="1:8" ht="41.1" customHeight="1" x14ac:dyDescent="0.35">
      <c r="A1" s="14" t="s">
        <v>227</v>
      </c>
      <c r="B1" s="14"/>
      <c r="C1" s="14"/>
      <c r="D1" s="14"/>
      <c r="E1" s="14"/>
      <c r="F1" s="14"/>
      <c r="G1" s="14"/>
      <c r="H1" s="14"/>
    </row>
    <row r="26" spans="1:19" x14ac:dyDescent="0.35">
      <c r="D26" s="44" t="s">
        <v>259</v>
      </c>
    </row>
    <row r="27" spans="1:19" x14ac:dyDescent="0.35">
      <c r="D27" s="45" t="s">
        <v>260</v>
      </c>
    </row>
    <row r="29" spans="1:19" ht="26.25" x14ac:dyDescent="0.35">
      <c r="A29" s="2" t="s">
        <v>203</v>
      </c>
      <c r="B29" s="2" t="s">
        <v>0</v>
      </c>
      <c r="C29" s="2" t="s">
        <v>3</v>
      </c>
      <c r="D29" s="2" t="s">
        <v>2</v>
      </c>
      <c r="E29" s="2" t="s">
        <v>1</v>
      </c>
      <c r="F29" s="2" t="s">
        <v>190</v>
      </c>
      <c r="G29" s="2" t="s">
        <v>191</v>
      </c>
      <c r="H29" s="2" t="s">
        <v>192</v>
      </c>
      <c r="I29" s="6" t="s">
        <v>193</v>
      </c>
      <c r="J29" s="6" t="s">
        <v>194</v>
      </c>
      <c r="K29" s="6" t="s">
        <v>195</v>
      </c>
      <c r="L29" s="7" t="s">
        <v>196</v>
      </c>
      <c r="M29" s="7" t="s">
        <v>197</v>
      </c>
      <c r="N29" s="7" t="s">
        <v>198</v>
      </c>
      <c r="O29" s="8" t="s">
        <v>199</v>
      </c>
      <c r="P29" s="8" t="s">
        <v>200</v>
      </c>
      <c r="Q29" s="8" t="s">
        <v>201</v>
      </c>
    </row>
    <row r="30" spans="1:19" hidden="1" x14ac:dyDescent="0.35">
      <c r="A30" s="4" t="s">
        <v>4</v>
      </c>
      <c r="B30" s="5" t="s">
        <v>53</v>
      </c>
      <c r="C30" s="5" t="s">
        <v>7</v>
      </c>
      <c r="D30" s="5" t="s">
        <v>19</v>
      </c>
      <c r="E30" s="4">
        <v>18</v>
      </c>
      <c r="F30" s="4" t="s">
        <v>19</v>
      </c>
      <c r="G30" s="4" t="s">
        <v>189</v>
      </c>
      <c r="H30" s="4"/>
      <c r="I30" s="4" t="s">
        <v>19</v>
      </c>
      <c r="J30" s="4" t="s">
        <v>189</v>
      </c>
      <c r="K30" s="4"/>
      <c r="L30" s="4" t="s">
        <v>19</v>
      </c>
      <c r="M30" s="4" t="s">
        <v>187</v>
      </c>
      <c r="N30" s="4"/>
      <c r="O30" s="4" t="s">
        <v>19</v>
      </c>
      <c r="P30" s="4" t="s">
        <v>187</v>
      </c>
      <c r="Q30" s="4"/>
      <c r="S30" s="1">
        <f>SUMIFS(Max!$J$6:$J$500,Max!$B$6:$B$500,$A30,Max!$C$6:$C$500,$B30,Max!$D$6:$D$500,$C30,Max!$E$6:$E$500,$D30,Max!$F$6:$F$500,$E30)</f>
        <v>0</v>
      </c>
    </row>
    <row r="31" spans="1:19" hidden="1" x14ac:dyDescent="0.35">
      <c r="A31" s="4" t="s">
        <v>4</v>
      </c>
      <c r="B31" s="5" t="s">
        <v>53</v>
      </c>
      <c r="C31" s="5" t="s">
        <v>10</v>
      </c>
      <c r="D31" s="5" t="s">
        <v>19</v>
      </c>
      <c r="E31" s="4">
        <v>2</v>
      </c>
      <c r="F31" s="4" t="s">
        <v>19</v>
      </c>
      <c r="G31" s="4" t="s">
        <v>189</v>
      </c>
      <c r="H31" s="4"/>
      <c r="I31" s="4" t="s">
        <v>19</v>
      </c>
      <c r="J31" s="4" t="s">
        <v>189</v>
      </c>
      <c r="K31" s="4"/>
      <c r="L31" s="4" t="s">
        <v>19</v>
      </c>
      <c r="M31" s="4" t="s">
        <v>187</v>
      </c>
      <c r="N31" s="4"/>
      <c r="O31" s="4" t="s">
        <v>19</v>
      </c>
      <c r="P31" s="4" t="s">
        <v>187</v>
      </c>
      <c r="Q31" s="4"/>
    </row>
    <row r="32" spans="1:19" hidden="1" x14ac:dyDescent="0.35">
      <c r="A32" s="4" t="s">
        <v>4</v>
      </c>
      <c r="B32" s="5" t="s">
        <v>54</v>
      </c>
      <c r="C32" s="5" t="s">
        <v>7</v>
      </c>
      <c r="D32" s="5" t="s">
        <v>19</v>
      </c>
      <c r="E32" s="4">
        <v>18</v>
      </c>
      <c r="F32" s="4" t="s">
        <v>19</v>
      </c>
      <c r="G32" s="4" t="s">
        <v>189</v>
      </c>
      <c r="H32" s="4"/>
      <c r="I32" s="4" t="s">
        <v>19</v>
      </c>
      <c r="J32" s="4" t="s">
        <v>189</v>
      </c>
      <c r="K32" s="4"/>
      <c r="L32" s="4" t="s">
        <v>19</v>
      </c>
      <c r="M32" s="4" t="s">
        <v>189</v>
      </c>
      <c r="N32" s="4"/>
      <c r="O32" s="4" t="s">
        <v>19</v>
      </c>
      <c r="P32" s="4" t="s">
        <v>187</v>
      </c>
      <c r="Q32" s="4"/>
    </row>
    <row r="33" spans="1:17" hidden="1" x14ac:dyDescent="0.35">
      <c r="A33" s="4" t="s">
        <v>4</v>
      </c>
      <c r="B33" s="5" t="s">
        <v>54</v>
      </c>
      <c r="C33" s="5" t="s">
        <v>10</v>
      </c>
      <c r="D33" s="5" t="s">
        <v>19</v>
      </c>
      <c r="E33" s="4">
        <v>2</v>
      </c>
      <c r="F33" s="4" t="s">
        <v>19</v>
      </c>
      <c r="G33" s="4" t="s">
        <v>189</v>
      </c>
      <c r="H33" s="4"/>
      <c r="I33" s="4" t="s">
        <v>19</v>
      </c>
      <c r="J33" s="4" t="s">
        <v>189</v>
      </c>
      <c r="K33" s="4"/>
      <c r="L33" s="4" t="s">
        <v>19</v>
      </c>
      <c r="M33" s="4" t="s">
        <v>189</v>
      </c>
      <c r="N33" s="4"/>
      <c r="O33" s="4" t="s">
        <v>19</v>
      </c>
      <c r="P33" s="4" t="s">
        <v>187</v>
      </c>
      <c r="Q33" s="4"/>
    </row>
    <row r="34" spans="1:17" hidden="1" x14ac:dyDescent="0.35">
      <c r="A34" s="4" t="s">
        <v>4</v>
      </c>
      <c r="B34" s="5" t="s">
        <v>71</v>
      </c>
      <c r="C34" s="5" t="s">
        <v>7</v>
      </c>
      <c r="D34" s="5" t="s">
        <v>19</v>
      </c>
      <c r="E34" s="4">
        <v>28</v>
      </c>
      <c r="F34" s="4" t="s">
        <v>19</v>
      </c>
      <c r="G34" s="4" t="s">
        <v>189</v>
      </c>
      <c r="H34" s="4"/>
      <c r="I34" s="4" t="s">
        <v>19</v>
      </c>
      <c r="J34" s="4" t="s">
        <v>189</v>
      </c>
      <c r="K34" s="4"/>
      <c r="L34" s="4" t="s">
        <v>19</v>
      </c>
      <c r="M34" s="4" t="s">
        <v>187</v>
      </c>
      <c r="N34" s="4"/>
      <c r="O34" s="4" t="s">
        <v>19</v>
      </c>
      <c r="P34" s="4" t="s">
        <v>187</v>
      </c>
      <c r="Q34" s="4"/>
    </row>
    <row r="35" spans="1:17" hidden="1" x14ac:dyDescent="0.35">
      <c r="A35" s="4" t="s">
        <v>4</v>
      </c>
      <c r="B35" s="5" t="s">
        <v>71</v>
      </c>
      <c r="C35" s="5" t="s">
        <v>10</v>
      </c>
      <c r="D35" s="5" t="s">
        <v>19</v>
      </c>
      <c r="E35" s="4">
        <v>4</v>
      </c>
      <c r="F35" s="4" t="s">
        <v>19</v>
      </c>
      <c r="G35" s="4" t="s">
        <v>189</v>
      </c>
      <c r="H35" s="4"/>
      <c r="I35" s="4" t="s">
        <v>19</v>
      </c>
      <c r="J35" s="4" t="s">
        <v>189</v>
      </c>
      <c r="K35" s="4"/>
      <c r="L35" s="4" t="s">
        <v>19</v>
      </c>
      <c r="M35" s="4" t="s">
        <v>187</v>
      </c>
      <c r="N35" s="4"/>
      <c r="O35" s="4" t="s">
        <v>19</v>
      </c>
      <c r="P35" s="4" t="s">
        <v>187</v>
      </c>
      <c r="Q35" s="4"/>
    </row>
    <row r="36" spans="1:17" hidden="1" x14ac:dyDescent="0.35">
      <c r="A36" s="4" t="s">
        <v>4</v>
      </c>
      <c r="B36" s="5" t="s">
        <v>55</v>
      </c>
      <c r="C36" s="5" t="s">
        <v>7</v>
      </c>
      <c r="D36" s="5" t="s">
        <v>19</v>
      </c>
      <c r="E36" s="4">
        <v>17</v>
      </c>
      <c r="F36" s="4" t="s">
        <v>19</v>
      </c>
      <c r="G36" s="4" t="s">
        <v>189</v>
      </c>
      <c r="H36" s="4"/>
      <c r="I36" s="4" t="s">
        <v>19</v>
      </c>
      <c r="J36" s="4" t="s">
        <v>189</v>
      </c>
      <c r="K36" s="4"/>
      <c r="L36" s="4" t="s">
        <v>19</v>
      </c>
      <c r="M36" s="4" t="s">
        <v>189</v>
      </c>
      <c r="N36" s="4"/>
      <c r="O36" s="4" t="s">
        <v>19</v>
      </c>
      <c r="P36" s="4" t="s">
        <v>187</v>
      </c>
      <c r="Q36" s="4"/>
    </row>
    <row r="37" spans="1:17" hidden="1" x14ac:dyDescent="0.35">
      <c r="A37" s="4" t="s">
        <v>4</v>
      </c>
      <c r="B37" s="5" t="s">
        <v>55</v>
      </c>
      <c r="C37" s="5" t="s">
        <v>10</v>
      </c>
      <c r="D37" s="5" t="s">
        <v>19</v>
      </c>
      <c r="E37" s="4">
        <v>3</v>
      </c>
      <c r="F37" s="4" t="s">
        <v>19</v>
      </c>
      <c r="G37" s="4" t="s">
        <v>189</v>
      </c>
      <c r="H37" s="4"/>
      <c r="I37" s="4" t="s">
        <v>19</v>
      </c>
      <c r="J37" s="4" t="s">
        <v>189</v>
      </c>
      <c r="K37" s="4"/>
      <c r="L37" s="4" t="s">
        <v>19</v>
      </c>
      <c r="M37" s="4" t="s">
        <v>189</v>
      </c>
      <c r="N37" s="4"/>
      <c r="O37" s="4" t="s">
        <v>19</v>
      </c>
      <c r="P37" s="4" t="s">
        <v>187</v>
      </c>
      <c r="Q37" s="4"/>
    </row>
    <row r="38" spans="1:17" hidden="1" x14ac:dyDescent="0.35">
      <c r="A38" s="4" t="s">
        <v>4</v>
      </c>
      <c r="B38" s="5" t="s">
        <v>72</v>
      </c>
      <c r="C38" s="5" t="s">
        <v>7</v>
      </c>
      <c r="D38" s="5" t="s">
        <v>19</v>
      </c>
      <c r="E38" s="4">
        <v>28</v>
      </c>
      <c r="F38" s="4" t="s">
        <v>19</v>
      </c>
      <c r="G38" s="4" t="s">
        <v>189</v>
      </c>
      <c r="H38" s="4"/>
      <c r="I38" s="4" t="s">
        <v>19</v>
      </c>
      <c r="J38" s="4" t="s">
        <v>189</v>
      </c>
      <c r="K38" s="4"/>
      <c r="L38" s="4" t="s">
        <v>19</v>
      </c>
      <c r="M38" s="4" t="s">
        <v>189</v>
      </c>
      <c r="N38" s="4"/>
      <c r="O38" s="4" t="s">
        <v>19</v>
      </c>
      <c r="P38" s="4" t="s">
        <v>187</v>
      </c>
      <c r="Q38" s="4">
        <v>-1</v>
      </c>
    </row>
    <row r="39" spans="1:17" hidden="1" x14ac:dyDescent="0.35">
      <c r="A39" s="4" t="s">
        <v>4</v>
      </c>
      <c r="B39" s="5" t="s">
        <v>72</v>
      </c>
      <c r="C39" s="5" t="s">
        <v>10</v>
      </c>
      <c r="D39" s="5" t="s">
        <v>19</v>
      </c>
      <c r="E39" s="4">
        <v>4</v>
      </c>
      <c r="F39" s="4" t="s">
        <v>19</v>
      </c>
      <c r="G39" s="4" t="s">
        <v>189</v>
      </c>
      <c r="H39" s="4"/>
      <c r="I39" s="4" t="s">
        <v>19</v>
      </c>
      <c r="J39" s="4" t="s">
        <v>189</v>
      </c>
      <c r="K39" s="4"/>
      <c r="L39" s="4" t="s">
        <v>19</v>
      </c>
      <c r="M39" s="4" t="s">
        <v>189</v>
      </c>
      <c r="N39" s="4"/>
      <c r="O39" s="4" t="s">
        <v>19</v>
      </c>
      <c r="P39" s="4" t="s">
        <v>187</v>
      </c>
      <c r="Q39" s="4"/>
    </row>
    <row r="40" spans="1:17" hidden="1" x14ac:dyDescent="0.35">
      <c r="A40" s="4" t="s">
        <v>4</v>
      </c>
      <c r="B40" s="5" t="s">
        <v>36</v>
      </c>
      <c r="C40" s="5" t="s">
        <v>7</v>
      </c>
      <c r="D40" s="5" t="s">
        <v>19</v>
      </c>
      <c r="E40" s="4">
        <v>22</v>
      </c>
      <c r="F40" s="4" t="s">
        <v>19</v>
      </c>
      <c r="G40" s="4" t="s">
        <v>189</v>
      </c>
      <c r="H40" s="4"/>
      <c r="I40" s="4" t="s">
        <v>19</v>
      </c>
      <c r="J40" s="4" t="s">
        <v>189</v>
      </c>
      <c r="K40" s="4"/>
      <c r="L40" s="4" t="s">
        <v>19</v>
      </c>
      <c r="M40" s="4" t="s">
        <v>189</v>
      </c>
      <c r="N40" s="4"/>
      <c r="O40" s="4" t="s">
        <v>19</v>
      </c>
      <c r="P40" s="4" t="s">
        <v>187</v>
      </c>
      <c r="Q40" s="4"/>
    </row>
    <row r="41" spans="1:17" hidden="1" x14ac:dyDescent="0.35">
      <c r="A41" s="4" t="s">
        <v>4</v>
      </c>
      <c r="B41" s="5" t="s">
        <v>36</v>
      </c>
      <c r="C41" s="5" t="s">
        <v>10</v>
      </c>
      <c r="D41" s="5" t="s">
        <v>19</v>
      </c>
      <c r="E41" s="4">
        <v>4</v>
      </c>
      <c r="F41" s="4" t="s">
        <v>19</v>
      </c>
      <c r="G41" s="4" t="s">
        <v>189</v>
      </c>
      <c r="H41" s="4"/>
      <c r="I41" s="4" t="s">
        <v>19</v>
      </c>
      <c r="J41" s="4" t="s">
        <v>189</v>
      </c>
      <c r="K41" s="4"/>
      <c r="L41" s="4" t="s">
        <v>19</v>
      </c>
      <c r="M41" s="4" t="s">
        <v>189</v>
      </c>
      <c r="N41" s="4"/>
      <c r="O41" s="4" t="s">
        <v>19</v>
      </c>
      <c r="P41" s="4" t="s">
        <v>187</v>
      </c>
      <c r="Q41" s="4"/>
    </row>
    <row r="42" spans="1:17" hidden="1" x14ac:dyDescent="0.35">
      <c r="A42" s="4" t="s">
        <v>4</v>
      </c>
      <c r="B42" s="5" t="s">
        <v>56</v>
      </c>
      <c r="C42" s="5" t="s">
        <v>7</v>
      </c>
      <c r="D42" s="5" t="s">
        <v>19</v>
      </c>
      <c r="E42" s="4">
        <v>15</v>
      </c>
      <c r="F42" s="4" t="s">
        <v>19</v>
      </c>
      <c r="G42" s="4" t="s">
        <v>189</v>
      </c>
      <c r="H42" s="4"/>
      <c r="I42" s="4" t="s">
        <v>19</v>
      </c>
      <c r="J42" s="4" t="s">
        <v>189</v>
      </c>
      <c r="K42" s="4"/>
      <c r="L42" s="4" t="s">
        <v>19</v>
      </c>
      <c r="M42" s="4" t="s">
        <v>189</v>
      </c>
      <c r="N42" s="4"/>
      <c r="O42" s="4" t="s">
        <v>19</v>
      </c>
      <c r="P42" s="4" t="s">
        <v>187</v>
      </c>
      <c r="Q42" s="4"/>
    </row>
    <row r="43" spans="1:17" hidden="1" x14ac:dyDescent="0.35">
      <c r="A43" s="4" t="s">
        <v>4</v>
      </c>
      <c r="B43" s="5" t="s">
        <v>37</v>
      </c>
      <c r="C43" s="5" t="s">
        <v>7</v>
      </c>
      <c r="D43" s="5" t="s">
        <v>19</v>
      </c>
      <c r="E43" s="4">
        <v>10</v>
      </c>
      <c r="F43" s="4" t="s">
        <v>19</v>
      </c>
      <c r="G43" s="4" t="s">
        <v>189</v>
      </c>
      <c r="H43" s="4"/>
      <c r="I43" s="4" t="s">
        <v>19</v>
      </c>
      <c r="J43" s="4" t="s">
        <v>189</v>
      </c>
      <c r="K43" s="4"/>
      <c r="L43" s="4" t="s">
        <v>19</v>
      </c>
      <c r="M43" s="4" t="s">
        <v>189</v>
      </c>
      <c r="N43" s="4"/>
      <c r="O43" s="4" t="s">
        <v>19</v>
      </c>
      <c r="P43" s="4" t="s">
        <v>187</v>
      </c>
      <c r="Q43" s="4"/>
    </row>
    <row r="44" spans="1:17" hidden="1" x14ac:dyDescent="0.35">
      <c r="A44" s="4" t="s">
        <v>4</v>
      </c>
      <c r="B44" s="5" t="s">
        <v>37</v>
      </c>
      <c r="C44" s="5" t="s">
        <v>10</v>
      </c>
      <c r="D44" s="5" t="s">
        <v>19</v>
      </c>
      <c r="E44" s="4">
        <v>4</v>
      </c>
      <c r="F44" s="4" t="s">
        <v>19</v>
      </c>
      <c r="G44" s="4" t="s">
        <v>189</v>
      </c>
      <c r="H44" s="4"/>
      <c r="I44" s="4" t="s">
        <v>19</v>
      </c>
      <c r="J44" s="4" t="s">
        <v>189</v>
      </c>
      <c r="K44" s="4"/>
      <c r="L44" s="4" t="s">
        <v>19</v>
      </c>
      <c r="M44" s="4" t="s">
        <v>189</v>
      </c>
      <c r="N44" s="4"/>
      <c r="O44" s="4" t="s">
        <v>19</v>
      </c>
      <c r="P44" s="4" t="s">
        <v>187</v>
      </c>
      <c r="Q44" s="4"/>
    </row>
    <row r="45" spans="1:17" hidden="1" x14ac:dyDescent="0.35">
      <c r="A45" s="4" t="s">
        <v>4</v>
      </c>
      <c r="B45" s="5" t="s">
        <v>58</v>
      </c>
      <c r="C45" s="5" t="s">
        <v>7</v>
      </c>
      <c r="D45" s="5" t="s">
        <v>19</v>
      </c>
      <c r="E45" s="4">
        <v>18</v>
      </c>
      <c r="F45" s="4" t="s">
        <v>19</v>
      </c>
      <c r="G45" s="4" t="s">
        <v>189</v>
      </c>
      <c r="H45" s="4"/>
      <c r="I45" s="4" t="s">
        <v>19</v>
      </c>
      <c r="J45" s="4" t="s">
        <v>189</v>
      </c>
      <c r="K45" s="4"/>
      <c r="L45" s="4" t="s">
        <v>19</v>
      </c>
      <c r="M45" s="4" t="s">
        <v>189</v>
      </c>
      <c r="N45" s="4"/>
      <c r="O45" s="4" t="s">
        <v>19</v>
      </c>
      <c r="P45" s="4" t="s">
        <v>187</v>
      </c>
      <c r="Q45" s="4"/>
    </row>
    <row r="46" spans="1:17" hidden="1" x14ac:dyDescent="0.35">
      <c r="A46" s="4" t="s">
        <v>4</v>
      </c>
      <c r="B46" s="5" t="s">
        <v>58</v>
      </c>
      <c r="C46" s="5" t="s">
        <v>10</v>
      </c>
      <c r="D46" s="5" t="s">
        <v>19</v>
      </c>
      <c r="E46" s="4">
        <v>2</v>
      </c>
      <c r="F46" s="4" t="s">
        <v>19</v>
      </c>
      <c r="G46" s="4" t="s">
        <v>189</v>
      </c>
      <c r="H46" s="4"/>
      <c r="I46" s="4" t="s">
        <v>19</v>
      </c>
      <c r="J46" s="4" t="s">
        <v>189</v>
      </c>
      <c r="K46" s="4"/>
      <c r="L46" s="4" t="s">
        <v>19</v>
      </c>
      <c r="M46" s="4" t="s">
        <v>189</v>
      </c>
      <c r="N46" s="4"/>
      <c r="O46" s="4" t="s">
        <v>19</v>
      </c>
      <c r="P46" s="4" t="s">
        <v>187</v>
      </c>
      <c r="Q46" s="4"/>
    </row>
    <row r="47" spans="1:17" hidden="1" x14ac:dyDescent="0.35">
      <c r="A47" s="4" t="s">
        <v>4</v>
      </c>
      <c r="B47" s="5" t="s">
        <v>59</v>
      </c>
      <c r="C47" s="5" t="s">
        <v>7</v>
      </c>
      <c r="D47" s="5" t="s">
        <v>19</v>
      </c>
      <c r="E47" s="4">
        <v>18</v>
      </c>
      <c r="F47" s="4" t="s">
        <v>19</v>
      </c>
      <c r="G47" s="4" t="s">
        <v>189</v>
      </c>
      <c r="H47" s="4"/>
      <c r="I47" s="4" t="s">
        <v>19</v>
      </c>
      <c r="J47" s="4" t="s">
        <v>189</v>
      </c>
      <c r="K47" s="4"/>
      <c r="L47" s="4" t="s">
        <v>19</v>
      </c>
      <c r="M47" s="4" t="s">
        <v>189</v>
      </c>
      <c r="N47" s="4"/>
      <c r="O47" s="4" t="s">
        <v>19</v>
      </c>
      <c r="P47" s="4" t="s">
        <v>187</v>
      </c>
      <c r="Q47" s="4"/>
    </row>
    <row r="48" spans="1:17" hidden="1" x14ac:dyDescent="0.35">
      <c r="A48" s="4" t="s">
        <v>4</v>
      </c>
      <c r="B48" s="5" t="s">
        <v>59</v>
      </c>
      <c r="C48" s="5" t="s">
        <v>10</v>
      </c>
      <c r="D48" s="5" t="s">
        <v>19</v>
      </c>
      <c r="E48" s="4">
        <v>2</v>
      </c>
      <c r="F48" s="4" t="s">
        <v>19</v>
      </c>
      <c r="G48" s="4" t="s">
        <v>189</v>
      </c>
      <c r="H48" s="4"/>
      <c r="I48" s="4" t="s">
        <v>19</v>
      </c>
      <c r="J48" s="4" t="s">
        <v>189</v>
      </c>
      <c r="K48" s="4"/>
      <c r="L48" s="4" t="s">
        <v>19</v>
      </c>
      <c r="M48" s="4" t="s">
        <v>189</v>
      </c>
      <c r="N48" s="4"/>
      <c r="O48" s="4" t="s">
        <v>19</v>
      </c>
      <c r="P48" s="4" t="s">
        <v>187</v>
      </c>
      <c r="Q48" s="4"/>
    </row>
    <row r="49" spans="1:17" hidden="1" x14ac:dyDescent="0.35">
      <c r="A49" s="4" t="s">
        <v>4</v>
      </c>
      <c r="B49" s="5" t="s">
        <v>73</v>
      </c>
      <c r="C49" s="5" t="s">
        <v>7</v>
      </c>
      <c r="D49" s="5" t="s">
        <v>28</v>
      </c>
      <c r="E49" s="4">
        <v>28</v>
      </c>
      <c r="F49" s="4" t="s">
        <v>19</v>
      </c>
      <c r="G49" s="4" t="s">
        <v>189</v>
      </c>
      <c r="H49" s="4"/>
      <c r="I49" s="4" t="s">
        <v>19</v>
      </c>
      <c r="J49" s="36" t="s">
        <v>189</v>
      </c>
      <c r="K49" s="4"/>
      <c r="L49" s="4" t="s">
        <v>19</v>
      </c>
      <c r="M49" s="36" t="s">
        <v>189</v>
      </c>
      <c r="N49" s="4"/>
      <c r="O49" s="4" t="s">
        <v>19</v>
      </c>
      <c r="P49" s="36" t="s">
        <v>187</v>
      </c>
      <c r="Q49" s="4">
        <v>-1</v>
      </c>
    </row>
    <row r="50" spans="1:17" hidden="1" x14ac:dyDescent="0.35">
      <c r="A50" s="4" t="s">
        <v>4</v>
      </c>
      <c r="B50" s="5" t="s">
        <v>73</v>
      </c>
      <c r="C50" s="5" t="s">
        <v>10</v>
      </c>
      <c r="D50" s="5" t="s">
        <v>28</v>
      </c>
      <c r="E50" s="4">
        <v>4</v>
      </c>
      <c r="F50" s="4" t="s">
        <v>19</v>
      </c>
      <c r="G50" s="4" t="s">
        <v>189</v>
      </c>
      <c r="H50" s="4"/>
      <c r="I50" s="4" t="s">
        <v>19</v>
      </c>
      <c r="J50" s="36" t="s">
        <v>189</v>
      </c>
      <c r="K50" s="4"/>
      <c r="L50" s="4" t="s">
        <v>19</v>
      </c>
      <c r="M50" s="36" t="s">
        <v>189</v>
      </c>
      <c r="N50" s="4"/>
      <c r="O50" s="4" t="s">
        <v>19</v>
      </c>
      <c r="P50" s="36" t="s">
        <v>187</v>
      </c>
      <c r="Q50" s="4"/>
    </row>
    <row r="51" spans="1:17" hidden="1" x14ac:dyDescent="0.35">
      <c r="A51" s="4" t="s">
        <v>4</v>
      </c>
      <c r="B51" s="5" t="s">
        <v>34</v>
      </c>
      <c r="C51" s="5" t="s">
        <v>10</v>
      </c>
      <c r="D51" s="5" t="s">
        <v>23</v>
      </c>
      <c r="E51" s="4">
        <v>3</v>
      </c>
      <c r="F51" s="4" t="s">
        <v>188</v>
      </c>
      <c r="G51" s="4" t="s">
        <v>189</v>
      </c>
      <c r="H51" s="4"/>
      <c r="I51" s="4" t="s">
        <v>188</v>
      </c>
      <c r="J51" s="4" t="s">
        <v>189</v>
      </c>
      <c r="K51" s="4"/>
      <c r="L51" s="4" t="s">
        <v>188</v>
      </c>
      <c r="M51" s="4" t="s">
        <v>189</v>
      </c>
      <c r="N51" s="4"/>
      <c r="O51" s="4" t="s">
        <v>188</v>
      </c>
      <c r="P51" s="4" t="s">
        <v>189</v>
      </c>
      <c r="Q51" s="4"/>
    </row>
    <row r="52" spans="1:17" hidden="1" x14ac:dyDescent="0.35">
      <c r="A52" s="4" t="s">
        <v>4</v>
      </c>
      <c r="B52" s="5" t="s">
        <v>38</v>
      </c>
      <c r="C52" s="5" t="s">
        <v>7</v>
      </c>
      <c r="D52" s="5" t="s">
        <v>19</v>
      </c>
      <c r="E52" s="4">
        <v>12</v>
      </c>
      <c r="F52" s="4" t="s">
        <v>19</v>
      </c>
      <c r="G52" s="4" t="s">
        <v>189</v>
      </c>
      <c r="H52" s="4"/>
      <c r="I52" s="4" t="s">
        <v>19</v>
      </c>
      <c r="J52" s="4" t="s">
        <v>189</v>
      </c>
      <c r="K52" s="4"/>
      <c r="L52" s="4" t="s">
        <v>19</v>
      </c>
      <c r="M52" s="4" t="s">
        <v>189</v>
      </c>
      <c r="N52" s="4"/>
      <c r="O52" s="4" t="s">
        <v>19</v>
      </c>
      <c r="P52" s="4" t="s">
        <v>189</v>
      </c>
      <c r="Q52" s="4"/>
    </row>
    <row r="53" spans="1:17" hidden="1" x14ac:dyDescent="0.35">
      <c r="A53" s="4" t="s">
        <v>4</v>
      </c>
      <c r="B53" s="37" t="s">
        <v>22</v>
      </c>
      <c r="C53" s="5" t="s">
        <v>7</v>
      </c>
      <c r="D53" s="5" t="s">
        <v>23</v>
      </c>
      <c r="E53" s="4">
        <v>10</v>
      </c>
      <c r="F53" s="4" t="s">
        <v>23</v>
      </c>
      <c r="G53" s="4" t="s">
        <v>189</v>
      </c>
      <c r="H53" s="4"/>
      <c r="I53" s="4" t="s">
        <v>23</v>
      </c>
      <c r="J53" s="4" t="s">
        <v>189</v>
      </c>
      <c r="K53" s="4"/>
      <c r="L53" s="4" t="s">
        <v>23</v>
      </c>
      <c r="M53" s="4" t="s">
        <v>189</v>
      </c>
      <c r="N53" s="4"/>
      <c r="O53" s="4" t="s">
        <v>23</v>
      </c>
      <c r="P53" s="4" t="s">
        <v>189</v>
      </c>
      <c r="Q53" s="4"/>
    </row>
    <row r="54" spans="1:17" hidden="1" x14ac:dyDescent="0.35">
      <c r="A54" s="4" t="s">
        <v>4</v>
      </c>
      <c r="B54" s="37" t="s">
        <v>22</v>
      </c>
      <c r="C54" s="5" t="s">
        <v>10</v>
      </c>
      <c r="D54" s="5" t="s">
        <v>23</v>
      </c>
      <c r="E54" s="4">
        <v>2</v>
      </c>
      <c r="F54" s="4" t="s">
        <v>23</v>
      </c>
      <c r="G54" s="4" t="s">
        <v>189</v>
      </c>
      <c r="H54" s="4"/>
      <c r="I54" s="4" t="s">
        <v>23</v>
      </c>
      <c r="J54" s="4" t="s">
        <v>189</v>
      </c>
      <c r="K54" s="4"/>
      <c r="L54" s="4" t="s">
        <v>23</v>
      </c>
      <c r="M54" s="4" t="s">
        <v>189</v>
      </c>
      <c r="N54" s="4"/>
      <c r="O54" s="4" t="s">
        <v>23</v>
      </c>
      <c r="P54" s="4" t="s">
        <v>189</v>
      </c>
      <c r="Q54" s="4"/>
    </row>
    <row r="55" spans="1:17" hidden="1" x14ac:dyDescent="0.35">
      <c r="A55" s="4" t="s">
        <v>4</v>
      </c>
      <c r="B55" s="5" t="s">
        <v>22</v>
      </c>
      <c r="C55" s="5" t="s">
        <v>24</v>
      </c>
      <c r="D55" s="5" t="s">
        <v>23</v>
      </c>
      <c r="E55" s="4">
        <v>12</v>
      </c>
      <c r="F55" s="4" t="s">
        <v>188</v>
      </c>
      <c r="G55" s="4" t="s">
        <v>189</v>
      </c>
      <c r="H55" s="4"/>
      <c r="I55" s="4" t="s">
        <v>188</v>
      </c>
      <c r="J55" s="4" t="s">
        <v>189</v>
      </c>
      <c r="K55" s="4"/>
      <c r="L55" s="4" t="s">
        <v>188</v>
      </c>
      <c r="M55" s="4" t="s">
        <v>189</v>
      </c>
      <c r="N55" s="4"/>
      <c r="O55" s="4" t="s">
        <v>188</v>
      </c>
      <c r="P55" s="4" t="s">
        <v>189</v>
      </c>
      <c r="Q55" s="4"/>
    </row>
    <row r="56" spans="1:17" hidden="1" x14ac:dyDescent="0.35">
      <c r="A56" s="4" t="s">
        <v>4</v>
      </c>
      <c r="B56" s="5" t="s">
        <v>248</v>
      </c>
      <c r="C56" s="5" t="s">
        <v>7</v>
      </c>
      <c r="D56" s="5" t="s">
        <v>19</v>
      </c>
      <c r="E56" s="4">
        <v>14</v>
      </c>
      <c r="F56" s="4" t="s">
        <v>19</v>
      </c>
      <c r="G56" s="4" t="s">
        <v>189</v>
      </c>
      <c r="H56" s="4"/>
      <c r="I56" s="4" t="s">
        <v>19</v>
      </c>
      <c r="J56" s="4" t="s">
        <v>189</v>
      </c>
      <c r="K56" s="4"/>
      <c r="L56" s="4" t="s">
        <v>19</v>
      </c>
      <c r="M56" s="4" t="s">
        <v>189</v>
      </c>
      <c r="N56" s="4"/>
      <c r="O56" s="4" t="s">
        <v>19</v>
      </c>
      <c r="P56" s="4" t="s">
        <v>187</v>
      </c>
      <c r="Q56" s="4"/>
    </row>
    <row r="57" spans="1:17" hidden="1" x14ac:dyDescent="0.35">
      <c r="A57" s="4" t="s">
        <v>4</v>
      </c>
      <c r="B57" s="5" t="s">
        <v>5</v>
      </c>
      <c r="C57" s="5" t="s">
        <v>7</v>
      </c>
      <c r="D57" s="5" t="s">
        <v>6</v>
      </c>
      <c r="E57" s="4">
        <v>18</v>
      </c>
      <c r="F57" s="4" t="s">
        <v>19</v>
      </c>
      <c r="G57" s="4" t="s">
        <v>189</v>
      </c>
      <c r="H57" s="4"/>
      <c r="I57" s="4" t="s">
        <v>19</v>
      </c>
      <c r="J57" s="4" t="s">
        <v>189</v>
      </c>
      <c r="K57" s="4"/>
      <c r="L57" s="4" t="s">
        <v>19</v>
      </c>
      <c r="M57" s="4" t="s">
        <v>189</v>
      </c>
      <c r="N57" s="4"/>
      <c r="O57" s="4" t="s">
        <v>19</v>
      </c>
      <c r="P57" s="4" t="s">
        <v>189</v>
      </c>
      <c r="Q57" s="4"/>
    </row>
    <row r="58" spans="1:17" hidden="1" x14ac:dyDescent="0.35">
      <c r="A58" s="4" t="s">
        <v>4</v>
      </c>
      <c r="B58" s="5" t="s">
        <v>74</v>
      </c>
      <c r="C58" s="5" t="s">
        <v>7</v>
      </c>
      <c r="D58" s="5" t="s">
        <v>28</v>
      </c>
      <c r="E58" s="4">
        <v>16</v>
      </c>
      <c r="F58" s="4" t="s">
        <v>19</v>
      </c>
      <c r="G58" s="4" t="s">
        <v>189</v>
      </c>
      <c r="H58" s="4"/>
      <c r="I58" s="4" t="s">
        <v>19</v>
      </c>
      <c r="J58" s="4" t="s">
        <v>189</v>
      </c>
      <c r="K58" s="4"/>
      <c r="L58" s="4" t="s">
        <v>19</v>
      </c>
      <c r="M58" s="4" t="s">
        <v>187</v>
      </c>
      <c r="N58" s="4"/>
      <c r="O58" s="4" t="s">
        <v>19</v>
      </c>
      <c r="P58" s="4" t="s">
        <v>187</v>
      </c>
      <c r="Q58" s="4"/>
    </row>
    <row r="59" spans="1:17" hidden="1" x14ac:dyDescent="0.35">
      <c r="A59" s="4" t="s">
        <v>4</v>
      </c>
      <c r="B59" s="5" t="s">
        <v>74</v>
      </c>
      <c r="C59" s="5" t="s">
        <v>10</v>
      </c>
      <c r="D59" s="5" t="s">
        <v>28</v>
      </c>
      <c r="E59" s="4">
        <v>2</v>
      </c>
      <c r="F59" s="4" t="s">
        <v>19</v>
      </c>
      <c r="G59" s="4" t="s">
        <v>189</v>
      </c>
      <c r="H59" s="4"/>
      <c r="I59" s="4" t="s">
        <v>19</v>
      </c>
      <c r="J59" s="4" t="s">
        <v>189</v>
      </c>
      <c r="K59" s="4"/>
      <c r="L59" s="4" t="s">
        <v>19</v>
      </c>
      <c r="M59" s="4" t="s">
        <v>187</v>
      </c>
      <c r="N59" s="4"/>
      <c r="O59" s="4" t="s">
        <v>19</v>
      </c>
      <c r="P59" s="4" t="s">
        <v>187</v>
      </c>
      <c r="Q59" s="4"/>
    </row>
    <row r="60" spans="1:17" hidden="1" x14ac:dyDescent="0.35">
      <c r="A60" s="4" t="s">
        <v>4</v>
      </c>
      <c r="B60" s="5" t="s">
        <v>75</v>
      </c>
      <c r="C60" s="5" t="s">
        <v>7</v>
      </c>
      <c r="D60" s="5" t="s">
        <v>28</v>
      </c>
      <c r="E60" s="4">
        <v>11</v>
      </c>
      <c r="F60" s="4" t="s">
        <v>23</v>
      </c>
      <c r="G60" s="4" t="s">
        <v>189</v>
      </c>
      <c r="H60" s="4"/>
      <c r="I60" s="4" t="s">
        <v>23</v>
      </c>
      <c r="J60" s="4" t="s">
        <v>189</v>
      </c>
      <c r="K60" s="4"/>
      <c r="L60" s="4" t="s">
        <v>23</v>
      </c>
      <c r="M60" s="4" t="s">
        <v>187</v>
      </c>
      <c r="N60" s="4"/>
      <c r="O60" s="4" t="s">
        <v>23</v>
      </c>
      <c r="P60" s="4" t="s">
        <v>187</v>
      </c>
      <c r="Q60" s="4"/>
    </row>
    <row r="61" spans="1:17" hidden="1" x14ac:dyDescent="0.35">
      <c r="A61" s="4" t="s">
        <v>4</v>
      </c>
      <c r="B61" s="5" t="s">
        <v>75</v>
      </c>
      <c r="C61" s="5" t="s">
        <v>10</v>
      </c>
      <c r="D61" s="5" t="s">
        <v>28</v>
      </c>
      <c r="E61" s="4">
        <v>2</v>
      </c>
      <c r="F61" s="4" t="s">
        <v>23</v>
      </c>
      <c r="G61" s="4" t="s">
        <v>189</v>
      </c>
      <c r="H61" s="4"/>
      <c r="I61" s="4" t="s">
        <v>23</v>
      </c>
      <c r="J61" s="4" t="s">
        <v>189</v>
      </c>
      <c r="K61" s="4"/>
      <c r="L61" s="4" t="s">
        <v>23</v>
      </c>
      <c r="M61" s="4" t="s">
        <v>187</v>
      </c>
      <c r="N61" s="4"/>
      <c r="O61" s="4" t="s">
        <v>23</v>
      </c>
      <c r="P61" s="4" t="s">
        <v>187</v>
      </c>
      <c r="Q61" s="4"/>
    </row>
    <row r="62" spans="1:17" hidden="1" x14ac:dyDescent="0.35">
      <c r="A62" s="4" t="s">
        <v>4</v>
      </c>
      <c r="B62" s="5" t="s">
        <v>76</v>
      </c>
      <c r="C62" s="5" t="s">
        <v>7</v>
      </c>
      <c r="D62" s="5" t="s">
        <v>23</v>
      </c>
      <c r="E62" s="4">
        <v>12</v>
      </c>
      <c r="F62" s="4" t="s">
        <v>23</v>
      </c>
      <c r="G62" s="4" t="s">
        <v>189</v>
      </c>
      <c r="H62" s="4"/>
      <c r="I62" s="4" t="s">
        <v>23</v>
      </c>
      <c r="J62" s="4" t="s">
        <v>189</v>
      </c>
      <c r="K62" s="4"/>
      <c r="L62" s="4" t="s">
        <v>23</v>
      </c>
      <c r="M62" s="4" t="s">
        <v>189</v>
      </c>
      <c r="N62" s="4"/>
      <c r="O62" s="4" t="s">
        <v>23</v>
      </c>
      <c r="P62" s="4" t="s">
        <v>189</v>
      </c>
      <c r="Q62" s="4"/>
    </row>
    <row r="63" spans="1:17" hidden="1" x14ac:dyDescent="0.35">
      <c r="A63" s="4" t="s">
        <v>4</v>
      </c>
      <c r="B63" s="5" t="s">
        <v>76</v>
      </c>
      <c r="C63" s="5" t="s">
        <v>10</v>
      </c>
      <c r="D63" s="5" t="s">
        <v>23</v>
      </c>
      <c r="E63" s="4">
        <v>2</v>
      </c>
      <c r="F63" s="4" t="s">
        <v>23</v>
      </c>
      <c r="G63" s="4" t="s">
        <v>189</v>
      </c>
      <c r="H63" s="4"/>
      <c r="I63" s="4" t="s">
        <v>23</v>
      </c>
      <c r="J63" s="4" t="s">
        <v>189</v>
      </c>
      <c r="K63" s="4"/>
      <c r="L63" s="4" t="s">
        <v>23</v>
      </c>
      <c r="M63" s="4" t="s">
        <v>189</v>
      </c>
      <c r="N63" s="4"/>
      <c r="O63" s="4" t="s">
        <v>23</v>
      </c>
      <c r="P63" s="4" t="s">
        <v>189</v>
      </c>
      <c r="Q63" s="4"/>
    </row>
    <row r="64" spans="1:17" hidden="1" x14ac:dyDescent="0.35">
      <c r="A64" s="4" t="s">
        <v>4</v>
      </c>
      <c r="B64" s="5" t="s">
        <v>76</v>
      </c>
      <c r="C64" s="5" t="s">
        <v>24</v>
      </c>
      <c r="D64" s="5" t="s">
        <v>23</v>
      </c>
      <c r="E64" s="4">
        <v>14</v>
      </c>
      <c r="F64" s="4" t="s">
        <v>188</v>
      </c>
      <c r="G64" s="4" t="s">
        <v>189</v>
      </c>
      <c r="H64" s="4"/>
      <c r="I64" s="4" t="s">
        <v>188</v>
      </c>
      <c r="J64" s="4" t="s">
        <v>189</v>
      </c>
      <c r="K64" s="4"/>
      <c r="L64" s="4" t="s">
        <v>188</v>
      </c>
      <c r="M64" s="4" t="s">
        <v>189</v>
      </c>
      <c r="N64" s="4"/>
      <c r="O64" s="4" t="s">
        <v>188</v>
      </c>
      <c r="P64" s="4" t="s">
        <v>189</v>
      </c>
      <c r="Q64" s="4"/>
    </row>
    <row r="65" spans="1:17" hidden="1" x14ac:dyDescent="0.35">
      <c r="A65" s="4" t="s">
        <v>4</v>
      </c>
      <c r="B65" s="5" t="s">
        <v>242</v>
      </c>
      <c r="C65" s="5" t="s">
        <v>7</v>
      </c>
      <c r="D65" s="5" t="s">
        <v>23</v>
      </c>
      <c r="E65" s="4">
        <v>4</v>
      </c>
      <c r="F65" s="4" t="s">
        <v>23</v>
      </c>
      <c r="G65" s="4" t="s">
        <v>189</v>
      </c>
      <c r="H65" s="4"/>
      <c r="I65" s="4" t="s">
        <v>23</v>
      </c>
      <c r="J65" s="4" t="s">
        <v>187</v>
      </c>
      <c r="K65" s="4"/>
      <c r="L65" s="4" t="s">
        <v>23</v>
      </c>
      <c r="M65" s="4" t="s">
        <v>187</v>
      </c>
      <c r="N65" s="4"/>
      <c r="O65" s="4" t="s">
        <v>23</v>
      </c>
      <c r="P65" s="4" t="s">
        <v>187</v>
      </c>
      <c r="Q65" s="4"/>
    </row>
    <row r="66" spans="1:17" hidden="1" x14ac:dyDescent="0.35">
      <c r="A66" s="4" t="s">
        <v>4</v>
      </c>
      <c r="B66" s="5" t="s">
        <v>8</v>
      </c>
      <c r="C66" s="5" t="s">
        <v>7</v>
      </c>
      <c r="D66" s="5" t="s">
        <v>9</v>
      </c>
      <c r="E66" s="4">
        <v>7</v>
      </c>
      <c r="F66" s="4" t="s">
        <v>188</v>
      </c>
      <c r="G66" s="4" t="s">
        <v>188</v>
      </c>
      <c r="H66" s="4"/>
      <c r="I66" s="4" t="s">
        <v>188</v>
      </c>
      <c r="J66" s="4" t="s">
        <v>188</v>
      </c>
      <c r="K66" s="4"/>
      <c r="L66" s="4" t="s">
        <v>19</v>
      </c>
      <c r="M66" s="4" t="s">
        <v>187</v>
      </c>
      <c r="N66" s="4"/>
      <c r="O66" s="4" t="s">
        <v>19</v>
      </c>
      <c r="P66" s="4" t="s">
        <v>187</v>
      </c>
      <c r="Q66" s="4"/>
    </row>
    <row r="67" spans="1:17" hidden="1" x14ac:dyDescent="0.35">
      <c r="A67" s="4" t="s">
        <v>4</v>
      </c>
      <c r="B67" s="5" t="s">
        <v>8</v>
      </c>
      <c r="C67" s="5" t="s">
        <v>10</v>
      </c>
      <c r="D67" s="5" t="s">
        <v>9</v>
      </c>
      <c r="E67" s="4">
        <v>1</v>
      </c>
      <c r="F67" s="4" t="s">
        <v>188</v>
      </c>
      <c r="G67" s="4" t="s">
        <v>188</v>
      </c>
      <c r="H67" s="4"/>
      <c r="I67" s="4" t="s">
        <v>188</v>
      </c>
      <c r="J67" s="4" t="s">
        <v>188</v>
      </c>
      <c r="K67" s="4"/>
      <c r="L67" s="4" t="s">
        <v>19</v>
      </c>
      <c r="M67" s="4" t="s">
        <v>187</v>
      </c>
      <c r="N67" s="4"/>
      <c r="O67" s="4" t="s">
        <v>19</v>
      </c>
      <c r="P67" s="4" t="s">
        <v>187</v>
      </c>
      <c r="Q67" s="4"/>
    </row>
    <row r="68" spans="1:17" hidden="1" x14ac:dyDescent="0.35">
      <c r="A68" s="4" t="s">
        <v>4</v>
      </c>
      <c r="B68" s="5" t="s">
        <v>39</v>
      </c>
      <c r="C68" s="5" t="s">
        <v>7</v>
      </c>
      <c r="D68" s="5" t="s">
        <v>19</v>
      </c>
      <c r="E68" s="4">
        <v>6</v>
      </c>
      <c r="F68" s="4" t="s">
        <v>19</v>
      </c>
      <c r="G68" s="4" t="s">
        <v>189</v>
      </c>
      <c r="H68" s="4"/>
      <c r="I68" s="4" t="s">
        <v>19</v>
      </c>
      <c r="J68" s="4" t="s">
        <v>189</v>
      </c>
      <c r="K68" s="4"/>
      <c r="L68" s="4" t="s">
        <v>19</v>
      </c>
      <c r="M68" s="4" t="s">
        <v>189</v>
      </c>
      <c r="N68" s="4"/>
      <c r="O68" s="4" t="s">
        <v>19</v>
      </c>
      <c r="P68" s="4" t="s">
        <v>187</v>
      </c>
      <c r="Q68" s="4"/>
    </row>
    <row r="69" spans="1:17" hidden="1" x14ac:dyDescent="0.35">
      <c r="A69" s="4" t="s">
        <v>4</v>
      </c>
      <c r="B69" s="37" t="s">
        <v>11</v>
      </c>
      <c r="C69" s="5" t="s">
        <v>14</v>
      </c>
      <c r="D69" s="5" t="s">
        <v>13</v>
      </c>
      <c r="E69" s="4">
        <v>35</v>
      </c>
      <c r="F69" s="4" t="s">
        <v>188</v>
      </c>
      <c r="G69" s="4" t="s">
        <v>188</v>
      </c>
      <c r="H69" s="4"/>
      <c r="I69" s="4" t="s">
        <v>188</v>
      </c>
      <c r="J69" s="4" t="s">
        <v>188</v>
      </c>
      <c r="K69" s="4"/>
      <c r="L69" s="4" t="s">
        <v>23</v>
      </c>
      <c r="M69" s="4" t="s">
        <v>187</v>
      </c>
      <c r="N69" s="4"/>
      <c r="O69" s="4" t="s">
        <v>23</v>
      </c>
      <c r="P69" s="4" t="s">
        <v>187</v>
      </c>
      <c r="Q69" s="4"/>
    </row>
    <row r="70" spans="1:17" hidden="1" x14ac:dyDescent="0.35">
      <c r="A70" s="4" t="s">
        <v>4</v>
      </c>
      <c r="B70" s="37" t="s">
        <v>11</v>
      </c>
      <c r="C70" s="5" t="s">
        <v>15</v>
      </c>
      <c r="D70" s="5" t="s">
        <v>13</v>
      </c>
      <c r="E70" s="4">
        <v>2</v>
      </c>
      <c r="F70" s="4" t="s">
        <v>188</v>
      </c>
      <c r="G70" s="4" t="s">
        <v>188</v>
      </c>
      <c r="H70" s="4"/>
      <c r="I70" s="4" t="s">
        <v>188</v>
      </c>
      <c r="J70" s="4" t="s">
        <v>188</v>
      </c>
      <c r="K70" s="4"/>
      <c r="L70" s="4" t="s">
        <v>23</v>
      </c>
      <c r="M70" s="4" t="s">
        <v>187</v>
      </c>
      <c r="N70" s="4"/>
      <c r="O70" s="4" t="s">
        <v>23</v>
      </c>
      <c r="P70" s="4" t="s">
        <v>187</v>
      </c>
      <c r="Q70" s="4"/>
    </row>
    <row r="71" spans="1:17" hidden="1" x14ac:dyDescent="0.35">
      <c r="A71" s="4" t="s">
        <v>4</v>
      </c>
      <c r="B71" s="5" t="s">
        <v>11</v>
      </c>
      <c r="C71" s="5" t="s">
        <v>16</v>
      </c>
      <c r="D71" s="5" t="s">
        <v>13</v>
      </c>
      <c r="E71" s="4">
        <v>14</v>
      </c>
      <c r="F71" s="4" t="s">
        <v>188</v>
      </c>
      <c r="G71" s="4" t="s">
        <v>188</v>
      </c>
      <c r="H71" s="4"/>
      <c r="I71" s="4" t="s">
        <v>188</v>
      </c>
      <c r="J71" s="4" t="s">
        <v>188</v>
      </c>
      <c r="K71" s="4"/>
      <c r="L71" s="4" t="s">
        <v>188</v>
      </c>
      <c r="M71" s="4" t="s">
        <v>188</v>
      </c>
      <c r="N71" s="4"/>
      <c r="O71" s="4" t="s">
        <v>23</v>
      </c>
      <c r="P71" s="4" t="s">
        <v>187</v>
      </c>
      <c r="Q71" s="4"/>
    </row>
    <row r="72" spans="1:17" hidden="1" x14ac:dyDescent="0.35">
      <c r="A72" s="4" t="s">
        <v>4</v>
      </c>
      <c r="B72" s="5" t="s">
        <v>82</v>
      </c>
      <c r="C72" s="5" t="s">
        <v>7</v>
      </c>
      <c r="D72" s="5" t="s">
        <v>19</v>
      </c>
      <c r="E72" s="4">
        <v>8</v>
      </c>
      <c r="F72" s="4" t="s">
        <v>19</v>
      </c>
      <c r="G72" s="4" t="s">
        <v>189</v>
      </c>
      <c r="H72" s="4"/>
      <c r="I72" s="4" t="s">
        <v>19</v>
      </c>
      <c r="J72" s="4" t="s">
        <v>189</v>
      </c>
      <c r="K72" s="4"/>
      <c r="L72" s="4" t="s">
        <v>19</v>
      </c>
      <c r="M72" s="4" t="s">
        <v>189</v>
      </c>
      <c r="N72" s="4"/>
      <c r="O72" s="4" t="s">
        <v>19</v>
      </c>
      <c r="P72" s="4" t="s">
        <v>189</v>
      </c>
      <c r="Q72" s="4"/>
    </row>
    <row r="73" spans="1:17" hidden="1" x14ac:dyDescent="0.35">
      <c r="A73" s="4" t="s">
        <v>4</v>
      </c>
      <c r="B73" s="5" t="s">
        <v>82</v>
      </c>
      <c r="C73" s="5" t="s">
        <v>24</v>
      </c>
      <c r="D73" s="5" t="s">
        <v>19</v>
      </c>
      <c r="E73" s="4">
        <v>3</v>
      </c>
      <c r="F73" s="4" t="s">
        <v>19</v>
      </c>
      <c r="G73" s="4" t="s">
        <v>189</v>
      </c>
      <c r="H73" s="4"/>
      <c r="I73" s="4" t="s">
        <v>19</v>
      </c>
      <c r="J73" s="4" t="s">
        <v>189</v>
      </c>
      <c r="K73" s="4"/>
      <c r="L73" s="4" t="s">
        <v>19</v>
      </c>
      <c r="M73" s="4" t="s">
        <v>189</v>
      </c>
      <c r="N73" s="4"/>
      <c r="O73" s="4" t="s">
        <v>19</v>
      </c>
      <c r="P73" s="4" t="s">
        <v>189</v>
      </c>
      <c r="Q73" s="4"/>
    </row>
    <row r="74" spans="1:17" hidden="1" x14ac:dyDescent="0.35">
      <c r="A74" s="4" t="s">
        <v>4</v>
      </c>
      <c r="B74" s="5" t="s">
        <v>47</v>
      </c>
      <c r="C74" s="5" t="s">
        <v>7</v>
      </c>
      <c r="D74" s="5" t="s">
        <v>19</v>
      </c>
      <c r="E74" s="4">
        <v>4</v>
      </c>
      <c r="F74" s="4" t="s">
        <v>19</v>
      </c>
      <c r="G74" s="4" t="s">
        <v>189</v>
      </c>
      <c r="H74" s="4"/>
      <c r="I74" s="4" t="s">
        <v>19</v>
      </c>
      <c r="J74" s="4" t="s">
        <v>189</v>
      </c>
      <c r="K74" s="4"/>
      <c r="L74" s="4" t="s">
        <v>19</v>
      </c>
      <c r="M74" s="4" t="s">
        <v>189</v>
      </c>
      <c r="N74" s="4"/>
      <c r="O74" s="4" t="s">
        <v>19</v>
      </c>
      <c r="P74" s="4" t="s">
        <v>189</v>
      </c>
      <c r="Q74" s="4"/>
    </row>
    <row r="75" spans="1:17" hidden="1" x14ac:dyDescent="0.35">
      <c r="A75" s="4" t="s">
        <v>4</v>
      </c>
      <c r="B75" s="5" t="s">
        <v>47</v>
      </c>
      <c r="C75" s="5" t="s">
        <v>10</v>
      </c>
      <c r="D75" s="5" t="s">
        <v>19</v>
      </c>
      <c r="E75" s="4">
        <v>2</v>
      </c>
      <c r="F75" s="4" t="s">
        <v>19</v>
      </c>
      <c r="G75" s="4" t="s">
        <v>189</v>
      </c>
      <c r="H75" s="4"/>
      <c r="I75" s="4" t="s">
        <v>19</v>
      </c>
      <c r="J75" s="4" t="s">
        <v>189</v>
      </c>
      <c r="K75" s="4"/>
      <c r="L75" s="4" t="s">
        <v>19</v>
      </c>
      <c r="M75" s="4" t="s">
        <v>189</v>
      </c>
      <c r="N75" s="4"/>
      <c r="O75" s="4" t="s">
        <v>19</v>
      </c>
      <c r="P75" s="4" t="s">
        <v>189</v>
      </c>
      <c r="Q75" s="4"/>
    </row>
    <row r="76" spans="1:17" hidden="1" x14ac:dyDescent="0.35">
      <c r="A76" s="4" t="s">
        <v>4</v>
      </c>
      <c r="B76" s="5" t="s">
        <v>66</v>
      </c>
      <c r="C76" s="5" t="s">
        <v>63</v>
      </c>
      <c r="D76" s="5" t="s">
        <v>13</v>
      </c>
      <c r="E76" s="4">
        <v>16</v>
      </c>
      <c r="F76" s="4" t="s">
        <v>188</v>
      </c>
      <c r="G76" s="4" t="s">
        <v>188</v>
      </c>
      <c r="H76" s="4"/>
      <c r="I76" s="4" t="s">
        <v>188</v>
      </c>
      <c r="J76" s="4" t="s">
        <v>188</v>
      </c>
      <c r="K76" s="4"/>
      <c r="L76" s="4" t="s">
        <v>188</v>
      </c>
      <c r="M76" s="4" t="s">
        <v>188</v>
      </c>
      <c r="N76" s="4"/>
      <c r="O76" s="4" t="s">
        <v>23</v>
      </c>
      <c r="P76" s="4" t="s">
        <v>187</v>
      </c>
      <c r="Q76" s="4"/>
    </row>
    <row r="77" spans="1:17" hidden="1" x14ac:dyDescent="0.35">
      <c r="A77" s="4" t="s">
        <v>4</v>
      </c>
      <c r="B77" s="5" t="s">
        <v>65</v>
      </c>
      <c r="C77" s="5" t="s">
        <v>17</v>
      </c>
      <c r="D77" s="5" t="s">
        <v>13</v>
      </c>
      <c r="E77" s="4">
        <v>16</v>
      </c>
      <c r="F77" s="4" t="s">
        <v>188</v>
      </c>
      <c r="G77" s="4" t="s">
        <v>188</v>
      </c>
      <c r="H77" s="4"/>
      <c r="I77" s="4" t="s">
        <v>188</v>
      </c>
      <c r="J77" s="4" t="s">
        <v>188</v>
      </c>
      <c r="K77" s="4"/>
      <c r="L77" s="4" t="s">
        <v>188</v>
      </c>
      <c r="M77" s="4" t="s">
        <v>188</v>
      </c>
      <c r="N77" s="4"/>
      <c r="O77" s="4" t="s">
        <v>23</v>
      </c>
      <c r="P77" s="4" t="s">
        <v>187</v>
      </c>
      <c r="Q77" s="4"/>
    </row>
    <row r="78" spans="1:17" hidden="1" x14ac:dyDescent="0.35">
      <c r="A78" s="4" t="s">
        <v>4</v>
      </c>
      <c r="B78" s="5" t="s">
        <v>77</v>
      </c>
      <c r="C78" s="5" t="s">
        <v>7</v>
      </c>
      <c r="D78" s="5" t="s">
        <v>19</v>
      </c>
      <c r="E78" s="4">
        <v>15</v>
      </c>
      <c r="F78" s="4" t="s">
        <v>19</v>
      </c>
      <c r="G78" s="4" t="s">
        <v>189</v>
      </c>
      <c r="H78" s="4"/>
      <c r="I78" s="4" t="s">
        <v>19</v>
      </c>
      <c r="J78" s="4" t="s">
        <v>189</v>
      </c>
      <c r="K78" s="4"/>
      <c r="L78" s="4" t="s">
        <v>19</v>
      </c>
      <c r="M78" s="4" t="s">
        <v>189</v>
      </c>
      <c r="N78" s="4"/>
      <c r="O78" s="4" t="s">
        <v>19</v>
      </c>
      <c r="P78" s="4" t="s">
        <v>189</v>
      </c>
      <c r="Q78" s="4"/>
    </row>
    <row r="79" spans="1:17" hidden="1" x14ac:dyDescent="0.35">
      <c r="A79" s="4" t="s">
        <v>4</v>
      </c>
      <c r="B79" s="5" t="s">
        <v>78</v>
      </c>
      <c r="C79" s="5" t="s">
        <v>7</v>
      </c>
      <c r="D79" s="5" t="s">
        <v>19</v>
      </c>
      <c r="E79" s="4">
        <v>14</v>
      </c>
      <c r="F79" s="4" t="s">
        <v>19</v>
      </c>
      <c r="G79" s="4" t="s">
        <v>189</v>
      </c>
      <c r="H79" s="4"/>
      <c r="I79" s="4" t="s">
        <v>19</v>
      </c>
      <c r="J79" s="4" t="s">
        <v>189</v>
      </c>
      <c r="K79" s="4"/>
      <c r="L79" s="4" t="s">
        <v>19</v>
      </c>
      <c r="M79" s="4" t="s">
        <v>189</v>
      </c>
      <c r="N79" s="4"/>
      <c r="O79" s="4" t="s">
        <v>19</v>
      </c>
      <c r="P79" s="4" t="s">
        <v>189</v>
      </c>
      <c r="Q79" s="4"/>
    </row>
    <row r="80" spans="1:17" hidden="1" x14ac:dyDescent="0.35">
      <c r="A80" s="4" t="s">
        <v>4</v>
      </c>
      <c r="B80" s="5" t="s">
        <v>67</v>
      </c>
      <c r="C80" s="5" t="s">
        <v>7</v>
      </c>
      <c r="D80" s="5" t="s">
        <v>19</v>
      </c>
      <c r="E80" s="4">
        <v>22</v>
      </c>
      <c r="F80" s="4" t="s">
        <v>19</v>
      </c>
      <c r="G80" s="4" t="s">
        <v>189</v>
      </c>
      <c r="H80" s="4"/>
      <c r="I80" s="4" t="s">
        <v>19</v>
      </c>
      <c r="J80" s="4" t="s">
        <v>189</v>
      </c>
      <c r="K80" s="4"/>
      <c r="L80" s="4" t="s">
        <v>19</v>
      </c>
      <c r="M80" s="4" t="s">
        <v>189</v>
      </c>
      <c r="N80" s="4"/>
      <c r="O80" s="4" t="s">
        <v>19</v>
      </c>
      <c r="P80" s="4" t="s">
        <v>189</v>
      </c>
      <c r="Q80" s="4"/>
    </row>
    <row r="81" spans="1:17" hidden="1" x14ac:dyDescent="0.35">
      <c r="A81" s="4" t="s">
        <v>4</v>
      </c>
      <c r="B81" s="5" t="s">
        <v>68</v>
      </c>
      <c r="C81" s="5" t="s">
        <v>7</v>
      </c>
      <c r="D81" s="5" t="s">
        <v>19</v>
      </c>
      <c r="E81" s="4">
        <v>22</v>
      </c>
      <c r="F81" s="4" t="s">
        <v>19</v>
      </c>
      <c r="G81" s="4" t="s">
        <v>189</v>
      </c>
      <c r="H81" s="4"/>
      <c r="I81" s="4" t="s">
        <v>19</v>
      </c>
      <c r="J81" s="4" t="s">
        <v>189</v>
      </c>
      <c r="K81" s="4"/>
      <c r="L81" s="4" t="s">
        <v>19</v>
      </c>
      <c r="M81" s="4" t="s">
        <v>189</v>
      </c>
      <c r="N81" s="4"/>
      <c r="O81" s="4" t="s">
        <v>19</v>
      </c>
      <c r="P81" s="4" t="s">
        <v>189</v>
      </c>
      <c r="Q81" s="4"/>
    </row>
    <row r="82" spans="1:17" hidden="1" x14ac:dyDescent="0.35">
      <c r="A82" s="4" t="s">
        <v>4</v>
      </c>
      <c r="B82" s="5" t="s">
        <v>69</v>
      </c>
      <c r="C82" s="5" t="s">
        <v>7</v>
      </c>
      <c r="D82" s="5" t="s">
        <v>19</v>
      </c>
      <c r="E82" s="4">
        <v>22</v>
      </c>
      <c r="F82" s="4" t="s">
        <v>19</v>
      </c>
      <c r="G82" s="4" t="s">
        <v>189</v>
      </c>
      <c r="H82" s="4"/>
      <c r="I82" s="4" t="s">
        <v>19</v>
      </c>
      <c r="J82" s="4" t="s">
        <v>189</v>
      </c>
      <c r="K82" s="4"/>
      <c r="L82" s="4" t="s">
        <v>19</v>
      </c>
      <c r="M82" s="4" t="s">
        <v>189</v>
      </c>
      <c r="N82" s="4"/>
      <c r="O82" s="4" t="s">
        <v>19</v>
      </c>
      <c r="P82" s="4" t="s">
        <v>189</v>
      </c>
      <c r="Q82" s="4"/>
    </row>
    <row r="83" spans="1:17" hidden="1" x14ac:dyDescent="0.35">
      <c r="A83" s="4" t="s">
        <v>4</v>
      </c>
      <c r="B83" s="5" t="s">
        <v>70</v>
      </c>
      <c r="C83" s="5" t="s">
        <v>7</v>
      </c>
      <c r="D83" s="5" t="s">
        <v>19</v>
      </c>
      <c r="E83" s="4">
        <v>21</v>
      </c>
      <c r="F83" s="4" t="s">
        <v>19</v>
      </c>
      <c r="G83" s="4" t="s">
        <v>189</v>
      </c>
      <c r="H83" s="4"/>
      <c r="I83" s="4" t="s">
        <v>19</v>
      </c>
      <c r="J83" s="4" t="s">
        <v>189</v>
      </c>
      <c r="K83" s="4"/>
      <c r="L83" s="4" t="s">
        <v>19</v>
      </c>
      <c r="M83" s="4" t="s">
        <v>189</v>
      </c>
      <c r="N83" s="4"/>
      <c r="O83" s="4" t="s">
        <v>19</v>
      </c>
      <c r="P83" s="4" t="s">
        <v>189</v>
      </c>
      <c r="Q83" s="4"/>
    </row>
    <row r="84" spans="1:17" hidden="1" x14ac:dyDescent="0.35">
      <c r="A84" s="4" t="s">
        <v>4</v>
      </c>
      <c r="B84" s="5" t="s">
        <v>25</v>
      </c>
      <c r="C84" s="5" t="s">
        <v>7</v>
      </c>
      <c r="D84" s="5" t="s">
        <v>19</v>
      </c>
      <c r="E84" s="4">
        <v>20</v>
      </c>
      <c r="F84" s="4" t="s">
        <v>19</v>
      </c>
      <c r="G84" s="4" t="s">
        <v>189</v>
      </c>
      <c r="H84" s="4"/>
      <c r="I84" s="4" t="s">
        <v>19</v>
      </c>
      <c r="J84" s="4" t="s">
        <v>189</v>
      </c>
      <c r="K84" s="4"/>
      <c r="L84" s="4" t="s">
        <v>19</v>
      </c>
      <c r="M84" s="4" t="s">
        <v>189</v>
      </c>
      <c r="N84" s="4"/>
      <c r="O84" s="4" t="s">
        <v>19</v>
      </c>
      <c r="P84" s="4" t="s">
        <v>189</v>
      </c>
      <c r="Q84" s="4"/>
    </row>
    <row r="85" spans="1:17" hidden="1" x14ac:dyDescent="0.35">
      <c r="A85" s="4" t="s">
        <v>4</v>
      </c>
      <c r="B85" s="5" t="s">
        <v>25</v>
      </c>
      <c r="C85" s="5" t="s">
        <v>10</v>
      </c>
      <c r="D85" s="5" t="s">
        <v>19</v>
      </c>
      <c r="E85" s="4">
        <v>4</v>
      </c>
      <c r="F85" s="4" t="s">
        <v>19</v>
      </c>
      <c r="G85" s="4" t="s">
        <v>189</v>
      </c>
      <c r="H85" s="4"/>
      <c r="I85" s="4" t="s">
        <v>19</v>
      </c>
      <c r="J85" s="4" t="s">
        <v>189</v>
      </c>
      <c r="K85" s="4"/>
      <c r="L85" s="4" t="s">
        <v>19</v>
      </c>
      <c r="M85" s="4" t="s">
        <v>189</v>
      </c>
      <c r="N85" s="4"/>
      <c r="O85" s="4" t="s">
        <v>19</v>
      </c>
      <c r="P85" s="4" t="s">
        <v>189</v>
      </c>
      <c r="Q85" s="4"/>
    </row>
    <row r="86" spans="1:17" hidden="1" x14ac:dyDescent="0.35">
      <c r="A86" s="4" t="s">
        <v>4</v>
      </c>
      <c r="B86" s="37" t="s">
        <v>230</v>
      </c>
      <c r="C86" s="5" t="s">
        <v>7</v>
      </c>
      <c r="D86" s="5" t="s">
        <v>19</v>
      </c>
      <c r="E86" s="4">
        <v>11</v>
      </c>
      <c r="F86" s="4" t="s">
        <v>19</v>
      </c>
      <c r="G86" s="4" t="s">
        <v>187</v>
      </c>
      <c r="H86" s="4">
        <v>-2</v>
      </c>
      <c r="I86" s="4" t="s">
        <v>19</v>
      </c>
      <c r="J86" s="4" t="s">
        <v>187</v>
      </c>
      <c r="K86" s="4">
        <v>-2</v>
      </c>
      <c r="L86" s="4" t="s">
        <v>19</v>
      </c>
      <c r="M86" s="4" t="s">
        <v>187</v>
      </c>
      <c r="N86" s="4">
        <v>-2</v>
      </c>
      <c r="O86" s="4" t="s">
        <v>19</v>
      </c>
      <c r="P86" s="4" t="s">
        <v>187</v>
      </c>
      <c r="Q86" s="4">
        <v>-2</v>
      </c>
    </row>
    <row r="87" spans="1:17" hidden="1" x14ac:dyDescent="0.35">
      <c r="A87" s="4" t="s">
        <v>4</v>
      </c>
      <c r="B87" s="37" t="s">
        <v>230</v>
      </c>
      <c r="C87" s="5" t="s">
        <v>10</v>
      </c>
      <c r="D87" s="5" t="s">
        <v>19</v>
      </c>
      <c r="E87" s="4">
        <v>2</v>
      </c>
      <c r="F87" s="4" t="s">
        <v>19</v>
      </c>
      <c r="G87" s="4" t="s">
        <v>187</v>
      </c>
      <c r="H87" s="4"/>
      <c r="I87" s="4" t="s">
        <v>19</v>
      </c>
      <c r="J87" s="4" t="s">
        <v>187</v>
      </c>
      <c r="K87" s="4"/>
      <c r="L87" s="4" t="s">
        <v>19</v>
      </c>
      <c r="M87" s="4" t="s">
        <v>187</v>
      </c>
      <c r="N87" s="4"/>
      <c r="O87" s="4" t="s">
        <v>19</v>
      </c>
      <c r="P87" s="4" t="s">
        <v>187</v>
      </c>
      <c r="Q87" s="4"/>
    </row>
    <row r="88" spans="1:17" hidden="1" x14ac:dyDescent="0.35">
      <c r="A88" s="4" t="s">
        <v>4</v>
      </c>
      <c r="B88" s="37" t="s">
        <v>231</v>
      </c>
      <c r="C88" s="5" t="s">
        <v>7</v>
      </c>
      <c r="D88" s="5" t="s">
        <v>19</v>
      </c>
      <c r="E88" s="4">
        <v>7</v>
      </c>
      <c r="F88" s="4" t="s">
        <v>19</v>
      </c>
      <c r="G88" s="4" t="s">
        <v>187</v>
      </c>
      <c r="H88" s="4"/>
      <c r="I88" s="4" t="s">
        <v>19</v>
      </c>
      <c r="J88" s="4" t="s">
        <v>187</v>
      </c>
      <c r="K88" s="4"/>
      <c r="L88" s="4" t="s">
        <v>19</v>
      </c>
      <c r="M88" s="4" t="s">
        <v>187</v>
      </c>
      <c r="N88" s="4"/>
      <c r="O88" s="4" t="s">
        <v>19</v>
      </c>
      <c r="P88" s="4" t="s">
        <v>187</v>
      </c>
      <c r="Q88" s="4"/>
    </row>
    <row r="89" spans="1:17" hidden="1" x14ac:dyDescent="0.35">
      <c r="A89" s="4" t="s">
        <v>4</v>
      </c>
      <c r="B89" s="37" t="s">
        <v>231</v>
      </c>
      <c r="C89" s="5" t="s">
        <v>10</v>
      </c>
      <c r="D89" s="5" t="s">
        <v>19</v>
      </c>
      <c r="E89" s="4">
        <v>2</v>
      </c>
      <c r="F89" s="4" t="s">
        <v>19</v>
      </c>
      <c r="G89" s="4" t="s">
        <v>187</v>
      </c>
      <c r="H89" s="4"/>
      <c r="I89" s="4" t="s">
        <v>19</v>
      </c>
      <c r="J89" s="4" t="s">
        <v>187</v>
      </c>
      <c r="K89" s="4"/>
      <c r="L89" s="4" t="s">
        <v>19</v>
      </c>
      <c r="M89" s="4" t="s">
        <v>187</v>
      </c>
      <c r="N89" s="4"/>
      <c r="O89" s="4" t="s">
        <v>19</v>
      </c>
      <c r="P89" s="4" t="s">
        <v>187</v>
      </c>
      <c r="Q89" s="4"/>
    </row>
    <row r="90" spans="1:17" hidden="1" x14ac:dyDescent="0.35">
      <c r="A90" s="4" t="s">
        <v>4</v>
      </c>
      <c r="B90" s="37" t="s">
        <v>26</v>
      </c>
      <c r="C90" s="5" t="s">
        <v>7</v>
      </c>
      <c r="D90" s="5" t="s">
        <v>23</v>
      </c>
      <c r="E90" s="4">
        <v>8</v>
      </c>
      <c r="F90" s="4" t="s">
        <v>23</v>
      </c>
      <c r="G90" s="4" t="s">
        <v>189</v>
      </c>
      <c r="H90" s="4"/>
      <c r="I90" s="4" t="s">
        <v>23</v>
      </c>
      <c r="J90" s="4" t="s">
        <v>187</v>
      </c>
      <c r="K90" s="4"/>
      <c r="L90" s="4" t="s">
        <v>23</v>
      </c>
      <c r="M90" s="4" t="s">
        <v>187</v>
      </c>
      <c r="N90" s="4"/>
      <c r="O90" s="4" t="s">
        <v>23</v>
      </c>
      <c r="P90" s="4" t="s">
        <v>187</v>
      </c>
      <c r="Q90" s="4"/>
    </row>
    <row r="91" spans="1:17" hidden="1" x14ac:dyDescent="0.35">
      <c r="A91" s="4" t="s">
        <v>4</v>
      </c>
      <c r="B91" s="37" t="s">
        <v>26</v>
      </c>
      <c r="C91" s="5" t="s">
        <v>10</v>
      </c>
      <c r="D91" s="5" t="s">
        <v>23</v>
      </c>
      <c r="E91" s="4">
        <v>4</v>
      </c>
      <c r="F91" s="4" t="s">
        <v>23</v>
      </c>
      <c r="G91" s="4" t="s">
        <v>189</v>
      </c>
      <c r="H91" s="4"/>
      <c r="I91" s="4" t="s">
        <v>23</v>
      </c>
      <c r="J91" s="4" t="s">
        <v>187</v>
      </c>
      <c r="K91" s="4"/>
      <c r="L91" s="4" t="s">
        <v>23</v>
      </c>
      <c r="M91" s="4" t="s">
        <v>187</v>
      </c>
      <c r="N91" s="4"/>
      <c r="O91" s="4" t="s">
        <v>23</v>
      </c>
      <c r="P91" s="4" t="s">
        <v>187</v>
      </c>
      <c r="Q91" s="4"/>
    </row>
    <row r="92" spans="1:17" hidden="1" x14ac:dyDescent="0.35">
      <c r="A92" s="4" t="s">
        <v>4</v>
      </c>
      <c r="B92" s="37" t="s">
        <v>232</v>
      </c>
      <c r="C92" s="5" t="s">
        <v>7</v>
      </c>
      <c r="D92" s="5" t="s">
        <v>23</v>
      </c>
      <c r="E92" s="4">
        <v>10</v>
      </c>
      <c r="F92" s="4" t="s">
        <v>23</v>
      </c>
      <c r="G92" s="4" t="s">
        <v>187</v>
      </c>
      <c r="H92" s="4"/>
      <c r="I92" s="4" t="s">
        <v>23</v>
      </c>
      <c r="J92" s="4" t="s">
        <v>187</v>
      </c>
      <c r="K92" s="4"/>
      <c r="L92" s="4" t="s">
        <v>23</v>
      </c>
      <c r="M92" s="4" t="s">
        <v>187</v>
      </c>
      <c r="N92" s="4"/>
      <c r="O92" s="4" t="s">
        <v>23</v>
      </c>
      <c r="P92" s="4" t="s">
        <v>187</v>
      </c>
      <c r="Q92" s="4"/>
    </row>
    <row r="93" spans="1:17" hidden="1" x14ac:dyDescent="0.35">
      <c r="A93" s="4" t="s">
        <v>4</v>
      </c>
      <c r="B93" s="37" t="s">
        <v>232</v>
      </c>
      <c r="C93" s="5" t="s">
        <v>10</v>
      </c>
      <c r="D93" s="5" t="s">
        <v>23</v>
      </c>
      <c r="E93" s="4">
        <v>2</v>
      </c>
      <c r="F93" s="4" t="s">
        <v>23</v>
      </c>
      <c r="G93" s="4" t="s">
        <v>187</v>
      </c>
      <c r="H93" s="4"/>
      <c r="I93" s="4" t="s">
        <v>23</v>
      </c>
      <c r="J93" s="4" t="s">
        <v>187</v>
      </c>
      <c r="K93" s="4"/>
      <c r="L93" s="4" t="s">
        <v>23</v>
      </c>
      <c r="M93" s="4" t="s">
        <v>187</v>
      </c>
      <c r="N93" s="4"/>
      <c r="O93" s="4" t="s">
        <v>23</v>
      </c>
      <c r="P93" s="4" t="s">
        <v>187</v>
      </c>
      <c r="Q93" s="4"/>
    </row>
    <row r="94" spans="1:17" hidden="1" x14ac:dyDescent="0.35">
      <c r="A94" s="4" t="s">
        <v>4</v>
      </c>
      <c r="B94" s="37" t="s">
        <v>27</v>
      </c>
      <c r="C94" s="5" t="s">
        <v>7</v>
      </c>
      <c r="D94" s="5" t="s">
        <v>28</v>
      </c>
      <c r="E94" s="4">
        <v>17</v>
      </c>
      <c r="F94" s="4" t="s">
        <v>23</v>
      </c>
      <c r="G94" s="4" t="s">
        <v>187</v>
      </c>
      <c r="H94" s="4"/>
      <c r="I94" s="4" t="s">
        <v>23</v>
      </c>
      <c r="J94" s="4" t="s">
        <v>187</v>
      </c>
      <c r="K94" s="4"/>
      <c r="L94" s="4" t="s">
        <v>23</v>
      </c>
      <c r="M94" s="4" t="s">
        <v>187</v>
      </c>
      <c r="N94" s="4"/>
      <c r="O94" s="4" t="s">
        <v>23</v>
      </c>
      <c r="P94" s="4" t="s">
        <v>187</v>
      </c>
      <c r="Q94" s="4"/>
    </row>
    <row r="95" spans="1:17" hidden="1" x14ac:dyDescent="0.35">
      <c r="A95" s="4" t="s">
        <v>4</v>
      </c>
      <c r="B95" s="37" t="s">
        <v>27</v>
      </c>
      <c r="C95" s="5" t="s">
        <v>243</v>
      </c>
      <c r="D95" s="5" t="s">
        <v>28</v>
      </c>
      <c r="E95" s="4">
        <v>4</v>
      </c>
      <c r="F95" s="4" t="s">
        <v>23</v>
      </c>
      <c r="G95" s="4" t="s">
        <v>187</v>
      </c>
      <c r="H95" s="4"/>
      <c r="I95" s="4" t="s">
        <v>23</v>
      </c>
      <c r="J95" s="4" t="s">
        <v>187</v>
      </c>
      <c r="K95" s="4"/>
      <c r="L95" s="4" t="s">
        <v>23</v>
      </c>
      <c r="M95" s="4" t="s">
        <v>187</v>
      </c>
      <c r="N95" s="4"/>
      <c r="O95" s="4" t="s">
        <v>23</v>
      </c>
      <c r="P95" s="4" t="s">
        <v>187</v>
      </c>
      <c r="Q95" s="4"/>
    </row>
    <row r="96" spans="1:17" hidden="1" x14ac:dyDescent="0.35">
      <c r="A96" s="4" t="s">
        <v>4</v>
      </c>
      <c r="B96" s="5" t="s">
        <v>41</v>
      </c>
      <c r="C96" s="5" t="s">
        <v>7</v>
      </c>
      <c r="D96" s="5" t="s">
        <v>23</v>
      </c>
      <c r="E96" s="4">
        <v>8</v>
      </c>
      <c r="F96" s="4" t="s">
        <v>23</v>
      </c>
      <c r="G96" s="4" t="s">
        <v>189</v>
      </c>
      <c r="H96" s="4"/>
      <c r="I96" s="4" t="s">
        <v>23</v>
      </c>
      <c r="J96" s="4" t="s">
        <v>189</v>
      </c>
      <c r="K96" s="4"/>
      <c r="L96" s="4" t="s">
        <v>23</v>
      </c>
      <c r="M96" s="4" t="s">
        <v>189</v>
      </c>
      <c r="N96" s="4"/>
      <c r="O96" s="4" t="s">
        <v>23</v>
      </c>
      <c r="P96" s="4" t="s">
        <v>189</v>
      </c>
      <c r="Q96" s="4"/>
    </row>
    <row r="97" spans="1:17" hidden="1" x14ac:dyDescent="0.35">
      <c r="A97" s="4" t="s">
        <v>4</v>
      </c>
      <c r="B97" s="5" t="s">
        <v>40</v>
      </c>
      <c r="C97" s="5" t="s">
        <v>7</v>
      </c>
      <c r="D97" s="5" t="s">
        <v>23</v>
      </c>
      <c r="E97" s="4">
        <v>16</v>
      </c>
      <c r="F97" s="4" t="s">
        <v>23</v>
      </c>
      <c r="G97" s="4" t="s">
        <v>189</v>
      </c>
      <c r="H97" s="4"/>
      <c r="I97" s="4" t="s">
        <v>23</v>
      </c>
      <c r="J97" s="4" t="s">
        <v>189</v>
      </c>
      <c r="K97" s="4"/>
      <c r="L97" s="4" t="s">
        <v>23</v>
      </c>
      <c r="M97" s="4" t="s">
        <v>187</v>
      </c>
      <c r="N97" s="4"/>
      <c r="O97" s="4" t="s">
        <v>23</v>
      </c>
      <c r="P97" s="4" t="s">
        <v>187</v>
      </c>
      <c r="Q97" s="4"/>
    </row>
    <row r="98" spans="1:17" hidden="1" x14ac:dyDescent="0.35">
      <c r="A98" s="4" t="s">
        <v>4</v>
      </c>
      <c r="B98" s="37" t="s">
        <v>29</v>
      </c>
      <c r="C98" s="5" t="s">
        <v>7</v>
      </c>
      <c r="D98" s="5" t="s">
        <v>19</v>
      </c>
      <c r="E98" s="4">
        <v>19</v>
      </c>
      <c r="F98" s="4" t="s">
        <v>19</v>
      </c>
      <c r="G98" s="4" t="s">
        <v>187</v>
      </c>
      <c r="H98" s="4">
        <v>-2</v>
      </c>
      <c r="I98" s="4" t="s">
        <v>19</v>
      </c>
      <c r="J98" s="4" t="s">
        <v>187</v>
      </c>
      <c r="K98" s="4">
        <v>-2</v>
      </c>
      <c r="L98" s="4" t="s">
        <v>19</v>
      </c>
      <c r="M98" s="4" t="s">
        <v>187</v>
      </c>
      <c r="N98" s="4">
        <v>-2</v>
      </c>
      <c r="O98" s="4" t="s">
        <v>19</v>
      </c>
      <c r="P98" s="4" t="s">
        <v>187</v>
      </c>
      <c r="Q98" s="4">
        <v>-2</v>
      </c>
    </row>
    <row r="99" spans="1:17" hidden="1" x14ac:dyDescent="0.35">
      <c r="A99" s="4" t="s">
        <v>4</v>
      </c>
      <c r="B99" s="37" t="s">
        <v>29</v>
      </c>
      <c r="C99" s="5" t="s">
        <v>10</v>
      </c>
      <c r="D99" s="5" t="s">
        <v>19</v>
      </c>
      <c r="E99" s="4">
        <v>4</v>
      </c>
      <c r="F99" s="4" t="s">
        <v>19</v>
      </c>
      <c r="G99" s="4" t="s">
        <v>187</v>
      </c>
      <c r="H99" s="4"/>
      <c r="I99" s="4" t="s">
        <v>19</v>
      </c>
      <c r="J99" s="4" t="s">
        <v>187</v>
      </c>
      <c r="K99" s="4"/>
      <c r="L99" s="4" t="s">
        <v>19</v>
      </c>
      <c r="M99" s="4" t="s">
        <v>187</v>
      </c>
      <c r="N99" s="4"/>
      <c r="O99" s="4" t="s">
        <v>19</v>
      </c>
      <c r="P99" s="4" t="s">
        <v>187</v>
      </c>
      <c r="Q99" s="4"/>
    </row>
    <row r="100" spans="1:17" hidden="1" x14ac:dyDescent="0.35">
      <c r="A100" s="4" t="s">
        <v>4</v>
      </c>
      <c r="B100" s="37" t="s">
        <v>30</v>
      </c>
      <c r="C100" s="5" t="s">
        <v>7</v>
      </c>
      <c r="D100" s="5" t="s">
        <v>19</v>
      </c>
      <c r="E100" s="4">
        <v>19</v>
      </c>
      <c r="F100" s="4" t="s">
        <v>19</v>
      </c>
      <c r="G100" s="4" t="s">
        <v>187</v>
      </c>
      <c r="H100" s="4">
        <v>-2</v>
      </c>
      <c r="I100" s="4" t="s">
        <v>19</v>
      </c>
      <c r="J100" s="4" t="s">
        <v>187</v>
      </c>
      <c r="K100" s="4">
        <v>-2</v>
      </c>
      <c r="L100" s="4" t="s">
        <v>19</v>
      </c>
      <c r="M100" s="4" t="s">
        <v>187</v>
      </c>
      <c r="N100" s="4">
        <v>-2</v>
      </c>
      <c r="O100" s="4" t="s">
        <v>19</v>
      </c>
      <c r="P100" s="4" t="s">
        <v>187</v>
      </c>
      <c r="Q100" s="4">
        <v>-2</v>
      </c>
    </row>
    <row r="101" spans="1:17" hidden="1" x14ac:dyDescent="0.35">
      <c r="A101" s="4" t="s">
        <v>4</v>
      </c>
      <c r="B101" s="37" t="s">
        <v>30</v>
      </c>
      <c r="C101" s="5" t="s">
        <v>10</v>
      </c>
      <c r="D101" s="5" t="s">
        <v>19</v>
      </c>
      <c r="E101" s="4">
        <v>4</v>
      </c>
      <c r="F101" s="4" t="s">
        <v>19</v>
      </c>
      <c r="G101" s="4" t="s">
        <v>187</v>
      </c>
      <c r="H101" s="4"/>
      <c r="I101" s="4" t="s">
        <v>19</v>
      </c>
      <c r="J101" s="4" t="s">
        <v>187</v>
      </c>
      <c r="K101" s="4"/>
      <c r="L101" s="4" t="s">
        <v>19</v>
      </c>
      <c r="M101" s="4" t="s">
        <v>187</v>
      </c>
      <c r="N101" s="4"/>
      <c r="O101" s="4" t="s">
        <v>19</v>
      </c>
      <c r="P101" s="4" t="s">
        <v>187</v>
      </c>
      <c r="Q101" s="4"/>
    </row>
    <row r="102" spans="1:17" hidden="1" x14ac:dyDescent="0.35">
      <c r="A102" s="4" t="s">
        <v>4</v>
      </c>
      <c r="B102" s="37" t="s">
        <v>31</v>
      </c>
      <c r="C102" s="5" t="s">
        <v>7</v>
      </c>
      <c r="D102" s="5" t="s">
        <v>19</v>
      </c>
      <c r="E102" s="4">
        <v>19</v>
      </c>
      <c r="F102" s="4" t="s">
        <v>19</v>
      </c>
      <c r="G102" s="4" t="s">
        <v>189</v>
      </c>
      <c r="H102" s="4"/>
      <c r="I102" s="4" t="s">
        <v>19</v>
      </c>
      <c r="J102" s="4" t="s">
        <v>187</v>
      </c>
      <c r="K102" s="4">
        <v>-3</v>
      </c>
      <c r="L102" s="4" t="s">
        <v>19</v>
      </c>
      <c r="M102" s="4" t="s">
        <v>187</v>
      </c>
      <c r="N102" s="4">
        <v>-3</v>
      </c>
      <c r="O102" s="4" t="s">
        <v>19</v>
      </c>
      <c r="P102" s="4" t="s">
        <v>187</v>
      </c>
      <c r="Q102" s="4">
        <v>-3</v>
      </c>
    </row>
    <row r="103" spans="1:17" hidden="1" x14ac:dyDescent="0.35">
      <c r="A103" s="4" t="s">
        <v>4</v>
      </c>
      <c r="B103" s="37" t="s">
        <v>31</v>
      </c>
      <c r="C103" s="5" t="s">
        <v>10</v>
      </c>
      <c r="D103" s="5" t="s">
        <v>19</v>
      </c>
      <c r="E103" s="4">
        <v>4</v>
      </c>
      <c r="F103" s="4" t="s">
        <v>19</v>
      </c>
      <c r="G103" s="4" t="s">
        <v>189</v>
      </c>
      <c r="H103" s="4"/>
      <c r="I103" s="4" t="s">
        <v>19</v>
      </c>
      <c r="J103" s="4" t="s">
        <v>187</v>
      </c>
      <c r="K103" s="4"/>
      <c r="L103" s="4" t="s">
        <v>19</v>
      </c>
      <c r="M103" s="4" t="s">
        <v>187</v>
      </c>
      <c r="N103" s="4"/>
      <c r="O103" s="4" t="s">
        <v>19</v>
      </c>
      <c r="P103" s="4" t="s">
        <v>187</v>
      </c>
      <c r="Q103" s="4"/>
    </row>
    <row r="104" spans="1:17" hidden="1" x14ac:dyDescent="0.35">
      <c r="A104" s="4" t="s">
        <v>4</v>
      </c>
      <c r="B104" s="5" t="s">
        <v>32</v>
      </c>
      <c r="C104" s="5" t="s">
        <v>7</v>
      </c>
      <c r="D104" s="5" t="s">
        <v>19</v>
      </c>
      <c r="E104" s="4">
        <v>19</v>
      </c>
      <c r="F104" s="4" t="s">
        <v>19</v>
      </c>
      <c r="G104" s="4" t="s">
        <v>189</v>
      </c>
      <c r="H104" s="4"/>
      <c r="I104" s="4" t="s">
        <v>19</v>
      </c>
      <c r="J104" s="4" t="s">
        <v>189</v>
      </c>
      <c r="K104" s="4"/>
      <c r="L104" s="4" t="s">
        <v>19</v>
      </c>
      <c r="M104" s="4" t="s">
        <v>189</v>
      </c>
      <c r="N104" s="4"/>
      <c r="O104" s="4" t="s">
        <v>19</v>
      </c>
      <c r="P104" s="4" t="s">
        <v>187</v>
      </c>
      <c r="Q104" s="4"/>
    </row>
    <row r="105" spans="1:17" hidden="1" x14ac:dyDescent="0.35">
      <c r="A105" s="4" t="s">
        <v>4</v>
      </c>
      <c r="B105" s="5" t="s">
        <v>32</v>
      </c>
      <c r="C105" s="5" t="s">
        <v>10</v>
      </c>
      <c r="D105" s="5" t="s">
        <v>19</v>
      </c>
      <c r="E105" s="4">
        <v>4</v>
      </c>
      <c r="F105" s="4" t="s">
        <v>19</v>
      </c>
      <c r="G105" s="4" t="s">
        <v>189</v>
      </c>
      <c r="H105" s="4"/>
      <c r="I105" s="4" t="s">
        <v>19</v>
      </c>
      <c r="J105" s="4" t="s">
        <v>189</v>
      </c>
      <c r="K105" s="4"/>
      <c r="L105" s="4" t="s">
        <v>19</v>
      </c>
      <c r="M105" s="4" t="s">
        <v>189</v>
      </c>
      <c r="N105" s="4"/>
      <c r="O105" s="4" t="s">
        <v>19</v>
      </c>
      <c r="P105" s="4" t="s">
        <v>187</v>
      </c>
      <c r="Q105" s="4"/>
    </row>
    <row r="106" spans="1:17" hidden="1" x14ac:dyDescent="0.35">
      <c r="A106" s="4" t="s">
        <v>4</v>
      </c>
      <c r="B106" s="37" t="s">
        <v>33</v>
      </c>
      <c r="C106" s="5" t="s">
        <v>7</v>
      </c>
      <c r="D106" s="5" t="s">
        <v>19</v>
      </c>
      <c r="E106" s="4">
        <v>19</v>
      </c>
      <c r="F106" s="4" t="s">
        <v>19</v>
      </c>
      <c r="G106" s="4" t="s">
        <v>189</v>
      </c>
      <c r="H106" s="4"/>
      <c r="I106" s="4" t="s">
        <v>19</v>
      </c>
      <c r="J106" s="4" t="s">
        <v>187</v>
      </c>
      <c r="K106" s="4">
        <v>-2</v>
      </c>
      <c r="L106" s="4" t="s">
        <v>19</v>
      </c>
      <c r="M106" s="4" t="s">
        <v>187</v>
      </c>
      <c r="N106" s="4">
        <v>-2</v>
      </c>
      <c r="O106" s="4" t="s">
        <v>19</v>
      </c>
      <c r="P106" s="4" t="s">
        <v>187</v>
      </c>
      <c r="Q106" s="4">
        <v>-2</v>
      </c>
    </row>
    <row r="107" spans="1:17" hidden="1" x14ac:dyDescent="0.35">
      <c r="A107" s="4" t="s">
        <v>4</v>
      </c>
      <c r="B107" s="37" t="s">
        <v>33</v>
      </c>
      <c r="C107" s="5" t="s">
        <v>10</v>
      </c>
      <c r="D107" s="5" t="s">
        <v>19</v>
      </c>
      <c r="E107" s="4">
        <v>4</v>
      </c>
      <c r="F107" s="4" t="s">
        <v>19</v>
      </c>
      <c r="G107" s="4" t="s">
        <v>189</v>
      </c>
      <c r="H107" s="4"/>
      <c r="I107" s="4" t="s">
        <v>19</v>
      </c>
      <c r="J107" s="4" t="s">
        <v>187</v>
      </c>
      <c r="K107" s="4"/>
      <c r="L107" s="4" t="s">
        <v>19</v>
      </c>
      <c r="M107" s="4" t="s">
        <v>187</v>
      </c>
      <c r="N107" s="4"/>
      <c r="O107" s="4" t="s">
        <v>19</v>
      </c>
      <c r="P107" s="4" t="s">
        <v>187</v>
      </c>
      <c r="Q107" s="4"/>
    </row>
    <row r="108" spans="1:17" hidden="1" x14ac:dyDescent="0.35">
      <c r="A108" s="4" t="s">
        <v>4</v>
      </c>
      <c r="B108" s="5" t="s">
        <v>60</v>
      </c>
      <c r="C108" s="5" t="s">
        <v>7</v>
      </c>
      <c r="D108" s="5" t="s">
        <v>60</v>
      </c>
      <c r="E108" s="4">
        <v>45</v>
      </c>
      <c r="F108" s="4" t="s">
        <v>19</v>
      </c>
      <c r="G108" s="4" t="s">
        <v>189</v>
      </c>
      <c r="H108" s="4"/>
      <c r="I108" s="4" t="s">
        <v>19</v>
      </c>
      <c r="J108" s="4" t="s">
        <v>189</v>
      </c>
      <c r="K108" s="4"/>
      <c r="L108" s="4" t="s">
        <v>19</v>
      </c>
      <c r="M108" s="4" t="s">
        <v>189</v>
      </c>
      <c r="N108" s="4"/>
      <c r="O108" s="4" t="s">
        <v>19</v>
      </c>
      <c r="P108" s="4" t="s">
        <v>189</v>
      </c>
      <c r="Q108" s="4"/>
    </row>
    <row r="109" spans="1:17" hidden="1" x14ac:dyDescent="0.35">
      <c r="A109" s="4" t="s">
        <v>4</v>
      </c>
      <c r="B109" s="5" t="s">
        <v>60</v>
      </c>
      <c r="C109" s="5" t="s">
        <v>10</v>
      </c>
      <c r="D109" s="5" t="s">
        <v>60</v>
      </c>
      <c r="E109" s="4">
        <v>4</v>
      </c>
      <c r="F109" s="4" t="s">
        <v>19</v>
      </c>
      <c r="G109" s="4" t="s">
        <v>189</v>
      </c>
      <c r="H109" s="4"/>
      <c r="I109" s="4" t="s">
        <v>19</v>
      </c>
      <c r="J109" s="4" t="s">
        <v>189</v>
      </c>
      <c r="K109" s="4"/>
      <c r="L109" s="4" t="s">
        <v>19</v>
      </c>
      <c r="M109" s="4" t="s">
        <v>189</v>
      </c>
      <c r="N109" s="4"/>
      <c r="O109" s="4" t="s">
        <v>19</v>
      </c>
      <c r="P109" s="4" t="s">
        <v>189</v>
      </c>
      <c r="Q109" s="4"/>
    </row>
    <row r="110" spans="1:17" hidden="1" x14ac:dyDescent="0.35">
      <c r="A110" s="4" t="s">
        <v>4</v>
      </c>
      <c r="B110" s="5" t="s">
        <v>42</v>
      </c>
      <c r="C110" s="5" t="s">
        <v>7</v>
      </c>
      <c r="D110" s="5" t="s">
        <v>28</v>
      </c>
      <c r="E110" s="4">
        <v>6</v>
      </c>
      <c r="F110" s="4" t="s">
        <v>19</v>
      </c>
      <c r="G110" s="4" t="s">
        <v>189</v>
      </c>
      <c r="H110" s="4"/>
      <c r="I110" s="4" t="s">
        <v>19</v>
      </c>
      <c r="J110" s="4" t="s">
        <v>189</v>
      </c>
      <c r="K110" s="4"/>
      <c r="L110" s="4" t="s">
        <v>19</v>
      </c>
      <c r="M110" s="4" t="s">
        <v>189</v>
      </c>
      <c r="N110" s="4"/>
      <c r="O110" s="4" t="s">
        <v>19</v>
      </c>
      <c r="P110" s="4" t="s">
        <v>189</v>
      </c>
      <c r="Q110" s="4"/>
    </row>
    <row r="111" spans="1:17" hidden="1" x14ac:dyDescent="0.35">
      <c r="A111" s="4" t="s">
        <v>4</v>
      </c>
      <c r="B111" s="5" t="s">
        <v>45</v>
      </c>
      <c r="C111" s="5" t="s">
        <v>7</v>
      </c>
      <c r="D111" s="5" t="s">
        <v>46</v>
      </c>
      <c r="E111" s="4">
        <v>25</v>
      </c>
      <c r="F111" s="4" t="s">
        <v>188</v>
      </c>
      <c r="G111" s="4" t="s">
        <v>189</v>
      </c>
      <c r="H111" s="4"/>
      <c r="I111" s="4" t="s">
        <v>188</v>
      </c>
      <c r="J111" s="4" t="s">
        <v>189</v>
      </c>
      <c r="K111" s="4"/>
      <c r="L111" s="4" t="s">
        <v>188</v>
      </c>
      <c r="M111" s="4" t="s">
        <v>189</v>
      </c>
      <c r="N111" s="4"/>
      <c r="O111" s="4" t="s">
        <v>188</v>
      </c>
      <c r="P111" s="4" t="s">
        <v>189</v>
      </c>
      <c r="Q111" s="4"/>
    </row>
    <row r="112" spans="1:17" hidden="1" x14ac:dyDescent="0.35">
      <c r="A112" s="4" t="s">
        <v>4</v>
      </c>
      <c r="B112" s="5" t="s">
        <v>18</v>
      </c>
      <c r="C112" s="5" t="s">
        <v>7</v>
      </c>
      <c r="D112" s="5" t="s">
        <v>19</v>
      </c>
      <c r="E112" s="4">
        <v>29</v>
      </c>
      <c r="F112" s="4" t="s">
        <v>19</v>
      </c>
      <c r="G112" s="4" t="s">
        <v>189</v>
      </c>
      <c r="H112" s="4"/>
      <c r="I112" s="4" t="s">
        <v>19</v>
      </c>
      <c r="J112" s="4" t="s">
        <v>189</v>
      </c>
      <c r="K112" s="4"/>
      <c r="L112" s="4" t="s">
        <v>19</v>
      </c>
      <c r="M112" s="4" t="s">
        <v>189</v>
      </c>
      <c r="N112" s="4"/>
      <c r="O112" s="4" t="s">
        <v>19</v>
      </c>
      <c r="P112" s="4" t="s">
        <v>189</v>
      </c>
      <c r="Q112" s="4"/>
    </row>
    <row r="113" spans="1:17" hidden="1" x14ac:dyDescent="0.35">
      <c r="A113" s="4" t="s">
        <v>4</v>
      </c>
      <c r="B113" s="5" t="s">
        <v>18</v>
      </c>
      <c r="C113" s="5" t="s">
        <v>10</v>
      </c>
      <c r="D113" s="5" t="s">
        <v>19</v>
      </c>
      <c r="E113" s="4">
        <v>2</v>
      </c>
      <c r="F113" s="4" t="s">
        <v>19</v>
      </c>
      <c r="G113" s="4" t="s">
        <v>189</v>
      </c>
      <c r="H113" s="4"/>
      <c r="I113" s="4" t="s">
        <v>19</v>
      </c>
      <c r="J113" s="4" t="s">
        <v>189</v>
      </c>
      <c r="K113" s="4"/>
      <c r="L113" s="4" t="s">
        <v>19</v>
      </c>
      <c r="M113" s="4" t="s">
        <v>189</v>
      </c>
      <c r="N113" s="4"/>
      <c r="O113" s="4" t="s">
        <v>19</v>
      </c>
      <c r="P113" s="4" t="s">
        <v>189</v>
      </c>
      <c r="Q113" s="4"/>
    </row>
    <row r="114" spans="1:17" hidden="1" x14ac:dyDescent="0.35">
      <c r="A114" s="4" t="s">
        <v>4</v>
      </c>
      <c r="B114" s="5" t="s">
        <v>20</v>
      </c>
      <c r="C114" s="5" t="s">
        <v>7</v>
      </c>
      <c r="D114" s="5" t="s">
        <v>19</v>
      </c>
      <c r="E114" s="4">
        <v>4</v>
      </c>
      <c r="F114" s="4" t="s">
        <v>19</v>
      </c>
      <c r="G114" s="4" t="s">
        <v>187</v>
      </c>
      <c r="H114" s="4"/>
      <c r="I114" s="4" t="s">
        <v>19</v>
      </c>
      <c r="J114" s="4" t="s">
        <v>187</v>
      </c>
      <c r="K114" s="4"/>
      <c r="L114" s="4" t="s">
        <v>19</v>
      </c>
      <c r="M114" s="4" t="s">
        <v>187</v>
      </c>
      <c r="N114" s="4"/>
      <c r="O114" s="4" t="s">
        <v>19</v>
      </c>
      <c r="P114" s="4" t="s">
        <v>187</v>
      </c>
      <c r="Q114" s="4"/>
    </row>
    <row r="115" spans="1:17" hidden="1" x14ac:dyDescent="0.35">
      <c r="A115" s="4" t="s">
        <v>4</v>
      </c>
      <c r="B115" s="5" t="s">
        <v>85</v>
      </c>
      <c r="C115" s="5" t="s">
        <v>7</v>
      </c>
      <c r="D115" s="5" t="s">
        <v>19</v>
      </c>
      <c r="E115" s="4">
        <v>11</v>
      </c>
      <c r="F115" s="4" t="s">
        <v>19</v>
      </c>
      <c r="G115" s="4" t="s">
        <v>189</v>
      </c>
      <c r="H115" s="4"/>
      <c r="I115" s="4" t="s">
        <v>19</v>
      </c>
      <c r="J115" s="4" t="s">
        <v>189</v>
      </c>
      <c r="K115" s="4"/>
      <c r="L115" s="4" t="s">
        <v>19</v>
      </c>
      <c r="M115" s="4" t="s">
        <v>189</v>
      </c>
      <c r="N115" s="4"/>
      <c r="O115" s="4" t="s">
        <v>19</v>
      </c>
      <c r="P115" s="4" t="s">
        <v>189</v>
      </c>
      <c r="Q115" s="4"/>
    </row>
    <row r="116" spans="1:17" hidden="1" x14ac:dyDescent="0.35">
      <c r="A116" s="4" t="s">
        <v>4</v>
      </c>
      <c r="B116" s="5" t="s">
        <v>35</v>
      </c>
      <c r="C116" s="5" t="s">
        <v>7</v>
      </c>
      <c r="D116" s="5" t="s">
        <v>19</v>
      </c>
      <c r="E116" s="4">
        <v>28</v>
      </c>
      <c r="F116" s="4" t="s">
        <v>19</v>
      </c>
      <c r="G116" s="4" t="s">
        <v>189</v>
      </c>
      <c r="H116" s="4"/>
      <c r="I116" s="4" t="s">
        <v>19</v>
      </c>
      <c r="J116" s="4" t="s">
        <v>189</v>
      </c>
      <c r="K116" s="4"/>
      <c r="L116" s="4" t="s">
        <v>19</v>
      </c>
      <c r="M116" s="4" t="s">
        <v>189</v>
      </c>
      <c r="N116" s="4"/>
      <c r="O116" s="4" t="s">
        <v>19</v>
      </c>
      <c r="P116" s="4" t="s">
        <v>189</v>
      </c>
      <c r="Q116" s="4"/>
    </row>
    <row r="117" spans="1:17" hidden="1" x14ac:dyDescent="0.35">
      <c r="A117" s="4" t="s">
        <v>4</v>
      </c>
      <c r="B117" s="5" t="s">
        <v>35</v>
      </c>
      <c r="C117" s="5" t="s">
        <v>10</v>
      </c>
      <c r="D117" s="5" t="s">
        <v>19</v>
      </c>
      <c r="E117" s="4">
        <v>4</v>
      </c>
      <c r="F117" s="4" t="s">
        <v>19</v>
      </c>
      <c r="G117" s="4" t="s">
        <v>189</v>
      </c>
      <c r="H117" s="4"/>
      <c r="I117" s="4" t="s">
        <v>19</v>
      </c>
      <c r="J117" s="4" t="s">
        <v>189</v>
      </c>
      <c r="K117" s="4"/>
      <c r="L117" s="4" t="s">
        <v>19</v>
      </c>
      <c r="M117" s="4" t="s">
        <v>189</v>
      </c>
      <c r="N117" s="4"/>
      <c r="O117" s="4" t="s">
        <v>19</v>
      </c>
      <c r="P117" s="4" t="s">
        <v>189</v>
      </c>
      <c r="Q117" s="4"/>
    </row>
    <row r="118" spans="1:17" hidden="1" x14ac:dyDescent="0.35">
      <c r="A118" s="4" t="s">
        <v>4</v>
      </c>
      <c r="B118" s="5" t="s">
        <v>244</v>
      </c>
      <c r="C118" s="5" t="s">
        <v>7</v>
      </c>
      <c r="D118" s="5" t="s">
        <v>23</v>
      </c>
      <c r="E118" s="4">
        <v>10</v>
      </c>
      <c r="F118" s="4" t="s">
        <v>23</v>
      </c>
      <c r="G118" s="4" t="s">
        <v>189</v>
      </c>
      <c r="H118" s="4"/>
      <c r="I118" s="4" t="s">
        <v>23</v>
      </c>
      <c r="J118" s="4" t="s">
        <v>189</v>
      </c>
      <c r="K118" s="4"/>
      <c r="L118" s="4" t="s">
        <v>23</v>
      </c>
      <c r="M118" s="4" t="s">
        <v>189</v>
      </c>
      <c r="N118" s="4"/>
      <c r="O118" s="4" t="s">
        <v>23</v>
      </c>
      <c r="P118" s="4" t="s">
        <v>189</v>
      </c>
      <c r="Q118" s="4"/>
    </row>
    <row r="119" spans="1:17" hidden="1" x14ac:dyDescent="0.35">
      <c r="A119" s="4" t="s">
        <v>4</v>
      </c>
      <c r="B119" s="5" t="s">
        <v>244</v>
      </c>
      <c r="C119" s="5" t="s">
        <v>10</v>
      </c>
      <c r="D119" s="5" t="s">
        <v>23</v>
      </c>
      <c r="E119" s="4">
        <v>2</v>
      </c>
      <c r="F119" s="4" t="s">
        <v>23</v>
      </c>
      <c r="G119" s="4" t="s">
        <v>189</v>
      </c>
      <c r="H119" s="4"/>
      <c r="I119" s="4" t="s">
        <v>23</v>
      </c>
      <c r="J119" s="4" t="s">
        <v>189</v>
      </c>
      <c r="K119" s="4"/>
      <c r="L119" s="4" t="s">
        <v>23</v>
      </c>
      <c r="M119" s="4" t="s">
        <v>189</v>
      </c>
      <c r="N119" s="4"/>
      <c r="O119" s="4" t="s">
        <v>23</v>
      </c>
      <c r="P119" s="4" t="s">
        <v>189</v>
      </c>
      <c r="Q119" s="4"/>
    </row>
    <row r="120" spans="1:17" hidden="1" x14ac:dyDescent="0.35">
      <c r="A120" s="4" t="s">
        <v>4</v>
      </c>
      <c r="B120" s="5" t="s">
        <v>57</v>
      </c>
      <c r="C120" s="5" t="s">
        <v>24</v>
      </c>
      <c r="D120" s="5" t="s">
        <v>23</v>
      </c>
      <c r="E120" s="4">
        <v>4</v>
      </c>
      <c r="F120" s="4" t="s">
        <v>188</v>
      </c>
      <c r="G120" s="4" t="s">
        <v>188</v>
      </c>
      <c r="H120" s="4"/>
      <c r="I120" s="4" t="s">
        <v>188</v>
      </c>
      <c r="J120" s="4" t="s">
        <v>188</v>
      </c>
      <c r="K120" s="4"/>
      <c r="L120" s="4" t="s">
        <v>188</v>
      </c>
      <c r="M120" s="4" t="s">
        <v>188</v>
      </c>
      <c r="N120" s="4"/>
      <c r="O120" s="4" t="s">
        <v>23</v>
      </c>
      <c r="P120" s="4" t="s">
        <v>187</v>
      </c>
      <c r="Q120" s="4"/>
    </row>
    <row r="121" spans="1:17" hidden="1" x14ac:dyDescent="0.35">
      <c r="A121" s="4" t="s">
        <v>4</v>
      </c>
      <c r="B121" s="5" t="s">
        <v>57</v>
      </c>
      <c r="C121" s="5" t="s">
        <v>7</v>
      </c>
      <c r="D121" s="5" t="s">
        <v>23</v>
      </c>
      <c r="E121" s="4">
        <v>26</v>
      </c>
      <c r="F121" s="4" t="s">
        <v>23</v>
      </c>
      <c r="G121" s="4" t="s">
        <v>189</v>
      </c>
      <c r="H121" s="4"/>
      <c r="I121" s="4" t="s">
        <v>23</v>
      </c>
      <c r="J121" s="4" t="s">
        <v>189</v>
      </c>
      <c r="K121" s="4"/>
      <c r="L121" s="4" t="s">
        <v>23</v>
      </c>
      <c r="M121" s="4" t="s">
        <v>189</v>
      </c>
      <c r="N121" s="4"/>
      <c r="O121" s="4" t="s">
        <v>23</v>
      </c>
      <c r="P121" s="4" t="s">
        <v>187</v>
      </c>
      <c r="Q121" s="4"/>
    </row>
    <row r="122" spans="1:17" hidden="1" x14ac:dyDescent="0.35">
      <c r="A122" s="4" t="s">
        <v>4</v>
      </c>
      <c r="B122" s="5" t="s">
        <v>57</v>
      </c>
      <c r="C122" s="5" t="s">
        <v>10</v>
      </c>
      <c r="D122" s="5" t="s">
        <v>23</v>
      </c>
      <c r="E122" s="4">
        <v>2</v>
      </c>
      <c r="F122" s="4" t="s">
        <v>23</v>
      </c>
      <c r="G122" s="4" t="s">
        <v>189</v>
      </c>
      <c r="H122" s="4"/>
      <c r="I122" s="4" t="s">
        <v>23</v>
      </c>
      <c r="J122" s="4" t="s">
        <v>189</v>
      </c>
      <c r="K122" s="4"/>
      <c r="L122" s="4" t="s">
        <v>23</v>
      </c>
      <c r="M122" s="4" t="s">
        <v>189</v>
      </c>
      <c r="N122" s="4"/>
      <c r="O122" s="4" t="s">
        <v>23</v>
      </c>
      <c r="P122" s="4" t="s">
        <v>187</v>
      </c>
      <c r="Q122" s="4"/>
    </row>
    <row r="123" spans="1:17" hidden="1" x14ac:dyDescent="0.35">
      <c r="A123" s="4" t="s">
        <v>4</v>
      </c>
      <c r="B123" s="5" t="s">
        <v>247</v>
      </c>
      <c r="C123" s="5" t="s">
        <v>7</v>
      </c>
      <c r="D123" s="5" t="s">
        <v>19</v>
      </c>
      <c r="E123" s="4">
        <v>5</v>
      </c>
      <c r="F123" s="4" t="s">
        <v>19</v>
      </c>
      <c r="G123" s="4" t="s">
        <v>189</v>
      </c>
      <c r="H123" s="4"/>
      <c r="I123" s="4" t="s">
        <v>19</v>
      </c>
      <c r="J123" s="4" t="s">
        <v>189</v>
      </c>
      <c r="K123" s="4"/>
      <c r="L123" s="4" t="s">
        <v>19</v>
      </c>
      <c r="M123" s="4" t="s">
        <v>189</v>
      </c>
      <c r="N123" s="4"/>
      <c r="O123" s="4" t="s">
        <v>19</v>
      </c>
      <c r="P123" s="4" t="s">
        <v>187</v>
      </c>
      <c r="Q123" s="4"/>
    </row>
    <row r="124" spans="1:17" hidden="1" x14ac:dyDescent="0.35">
      <c r="A124" s="4" t="s">
        <v>4</v>
      </c>
      <c r="B124" s="5" t="s">
        <v>79</v>
      </c>
      <c r="C124" s="5" t="s">
        <v>7</v>
      </c>
      <c r="D124" s="5" t="s">
        <v>23</v>
      </c>
      <c r="E124" s="4">
        <v>14</v>
      </c>
      <c r="F124" s="4" t="s">
        <v>23</v>
      </c>
      <c r="G124" s="4" t="s">
        <v>187</v>
      </c>
      <c r="H124" s="4">
        <v>-1</v>
      </c>
      <c r="I124" s="4" t="s">
        <v>23</v>
      </c>
      <c r="J124" s="4" t="s">
        <v>187</v>
      </c>
      <c r="K124" s="4">
        <v>-1</v>
      </c>
      <c r="L124" s="4" t="s">
        <v>23</v>
      </c>
      <c r="M124" s="4" t="s">
        <v>187</v>
      </c>
      <c r="N124" s="4">
        <v>-1</v>
      </c>
      <c r="O124" s="4" t="s">
        <v>23</v>
      </c>
      <c r="P124" s="4" t="s">
        <v>187</v>
      </c>
      <c r="Q124" s="4">
        <v>-1</v>
      </c>
    </row>
    <row r="125" spans="1:17" hidden="1" x14ac:dyDescent="0.35">
      <c r="A125" s="4" t="s">
        <v>4</v>
      </c>
      <c r="B125" s="5" t="s">
        <v>79</v>
      </c>
      <c r="C125" s="5" t="s">
        <v>10</v>
      </c>
      <c r="D125" s="5" t="s">
        <v>23</v>
      </c>
      <c r="E125" s="4">
        <v>4</v>
      </c>
      <c r="F125" s="4" t="s">
        <v>23</v>
      </c>
      <c r="G125" s="4" t="s">
        <v>187</v>
      </c>
      <c r="H125" s="4"/>
      <c r="I125" s="4" t="s">
        <v>23</v>
      </c>
      <c r="J125" s="4" t="s">
        <v>187</v>
      </c>
      <c r="K125" s="4"/>
      <c r="L125" s="4" t="s">
        <v>23</v>
      </c>
      <c r="M125" s="4" t="s">
        <v>187</v>
      </c>
      <c r="N125" s="4"/>
      <c r="O125" s="4" t="s">
        <v>23</v>
      </c>
      <c r="P125" s="4" t="s">
        <v>187</v>
      </c>
      <c r="Q125" s="4"/>
    </row>
    <row r="126" spans="1:17" hidden="1" x14ac:dyDescent="0.35">
      <c r="A126" s="4" t="s">
        <v>4</v>
      </c>
      <c r="B126" s="5" t="s">
        <v>79</v>
      </c>
      <c r="C126" s="5" t="s">
        <v>24</v>
      </c>
      <c r="D126" s="5" t="s">
        <v>23</v>
      </c>
      <c r="E126" s="4">
        <v>18</v>
      </c>
      <c r="F126" s="4" t="s">
        <v>188</v>
      </c>
      <c r="G126" s="4" t="s">
        <v>188</v>
      </c>
      <c r="H126" s="4"/>
      <c r="I126" s="4" t="s">
        <v>188</v>
      </c>
      <c r="J126" s="4" t="s">
        <v>188</v>
      </c>
      <c r="K126" s="4"/>
      <c r="L126" s="4" t="s">
        <v>188</v>
      </c>
      <c r="M126" s="4" t="s">
        <v>188</v>
      </c>
      <c r="N126" s="4"/>
      <c r="O126" s="4" t="s">
        <v>188</v>
      </c>
      <c r="P126" s="4" t="s">
        <v>188</v>
      </c>
      <c r="Q126" s="4"/>
    </row>
    <row r="127" spans="1:17" hidden="1" x14ac:dyDescent="0.35">
      <c r="A127" s="4" t="s">
        <v>4</v>
      </c>
      <c r="B127" s="5" t="s">
        <v>62</v>
      </c>
      <c r="C127" s="5" t="s">
        <v>63</v>
      </c>
      <c r="D127" s="5" t="s">
        <v>13</v>
      </c>
      <c r="E127" s="4">
        <v>32</v>
      </c>
      <c r="F127" s="4" t="s">
        <v>188</v>
      </c>
      <c r="G127" s="4" t="s">
        <v>189</v>
      </c>
      <c r="H127" s="4"/>
      <c r="I127" s="4" t="s">
        <v>188</v>
      </c>
      <c r="J127" s="4" t="s">
        <v>189</v>
      </c>
      <c r="K127" s="4"/>
      <c r="L127" s="4" t="s">
        <v>188</v>
      </c>
      <c r="M127" s="4" t="s">
        <v>189</v>
      </c>
      <c r="N127" s="4"/>
      <c r="O127" s="4" t="s">
        <v>188</v>
      </c>
      <c r="P127" s="4" t="s">
        <v>189</v>
      </c>
      <c r="Q127" s="4"/>
    </row>
    <row r="128" spans="1:17" hidden="1" x14ac:dyDescent="0.35">
      <c r="A128" s="4" t="s">
        <v>4</v>
      </c>
      <c r="B128" s="5" t="s">
        <v>61</v>
      </c>
      <c r="C128" s="5" t="s">
        <v>14</v>
      </c>
      <c r="D128" s="5" t="s">
        <v>13</v>
      </c>
      <c r="E128" s="4">
        <v>9</v>
      </c>
      <c r="F128" s="4" t="s">
        <v>188</v>
      </c>
      <c r="G128" s="4" t="s">
        <v>189</v>
      </c>
      <c r="H128" s="4"/>
      <c r="I128" s="4" t="s">
        <v>188</v>
      </c>
      <c r="J128" s="4" t="s">
        <v>189</v>
      </c>
      <c r="K128" s="4"/>
      <c r="L128" s="4" t="s">
        <v>188</v>
      </c>
      <c r="M128" s="4" t="s">
        <v>189</v>
      </c>
      <c r="N128" s="4"/>
      <c r="O128" s="4" t="s">
        <v>188</v>
      </c>
      <c r="P128" s="4" t="s">
        <v>189</v>
      </c>
      <c r="Q128" s="4"/>
    </row>
    <row r="129" spans="1:17" hidden="1" x14ac:dyDescent="0.35">
      <c r="A129" s="4" t="s">
        <v>4</v>
      </c>
      <c r="B129" s="5" t="s">
        <v>61</v>
      </c>
      <c r="C129" s="5" t="s">
        <v>17</v>
      </c>
      <c r="D129" s="5" t="s">
        <v>13</v>
      </c>
      <c r="E129" s="4">
        <v>8</v>
      </c>
      <c r="F129" s="4" t="s">
        <v>188</v>
      </c>
      <c r="G129" s="4" t="s">
        <v>189</v>
      </c>
      <c r="H129" s="4"/>
      <c r="I129" s="4" t="s">
        <v>188</v>
      </c>
      <c r="J129" s="4" t="s">
        <v>189</v>
      </c>
      <c r="K129" s="4"/>
      <c r="L129" s="4" t="s">
        <v>188</v>
      </c>
      <c r="M129" s="4" t="s">
        <v>189</v>
      </c>
      <c r="N129" s="4"/>
      <c r="O129" s="4" t="s">
        <v>188</v>
      </c>
      <c r="P129" s="4" t="s">
        <v>189</v>
      </c>
      <c r="Q129" s="4"/>
    </row>
    <row r="130" spans="1:17" hidden="1" x14ac:dyDescent="0.35">
      <c r="A130" s="4" t="s">
        <v>4</v>
      </c>
      <c r="B130" s="5" t="s">
        <v>61</v>
      </c>
      <c r="C130" s="5" t="s">
        <v>15</v>
      </c>
      <c r="D130" s="5" t="s">
        <v>13</v>
      </c>
      <c r="E130" s="4">
        <v>1</v>
      </c>
      <c r="F130" s="4" t="s">
        <v>188</v>
      </c>
      <c r="G130" s="4" t="s">
        <v>189</v>
      </c>
      <c r="H130" s="4"/>
      <c r="I130" s="4" t="s">
        <v>188</v>
      </c>
      <c r="J130" s="4" t="s">
        <v>189</v>
      </c>
      <c r="K130" s="4"/>
      <c r="L130" s="4" t="s">
        <v>188</v>
      </c>
      <c r="M130" s="4" t="s">
        <v>189</v>
      </c>
      <c r="N130" s="4"/>
      <c r="O130" s="4" t="s">
        <v>188</v>
      </c>
      <c r="P130" s="4" t="s">
        <v>189</v>
      </c>
      <c r="Q130" s="4"/>
    </row>
    <row r="131" spans="1:17" hidden="1" x14ac:dyDescent="0.35">
      <c r="A131" s="4" t="s">
        <v>4</v>
      </c>
      <c r="B131" s="5" t="s">
        <v>80</v>
      </c>
      <c r="C131" s="5" t="s">
        <v>7</v>
      </c>
      <c r="D131" s="5" t="s">
        <v>23</v>
      </c>
      <c r="E131" s="4">
        <v>18</v>
      </c>
      <c r="F131" s="4" t="s">
        <v>23</v>
      </c>
      <c r="G131" s="4" t="s">
        <v>189</v>
      </c>
      <c r="H131" s="4"/>
      <c r="I131" s="4" t="s">
        <v>23</v>
      </c>
      <c r="J131" s="4" t="s">
        <v>189</v>
      </c>
      <c r="K131" s="4"/>
      <c r="L131" s="4" t="s">
        <v>23</v>
      </c>
      <c r="M131" s="4" t="s">
        <v>189</v>
      </c>
      <c r="N131" s="4"/>
      <c r="O131" s="4" t="s">
        <v>23</v>
      </c>
      <c r="P131" s="4" t="s">
        <v>189</v>
      </c>
      <c r="Q131" s="4"/>
    </row>
    <row r="132" spans="1:17" hidden="1" x14ac:dyDescent="0.35">
      <c r="A132" s="4" t="s">
        <v>4</v>
      </c>
      <c r="B132" s="5" t="s">
        <v>80</v>
      </c>
      <c r="C132" s="5" t="s">
        <v>10</v>
      </c>
      <c r="D132" s="5" t="s">
        <v>23</v>
      </c>
      <c r="E132" s="4">
        <v>2</v>
      </c>
      <c r="F132" s="4" t="s">
        <v>23</v>
      </c>
      <c r="G132" s="4" t="s">
        <v>189</v>
      </c>
      <c r="H132" s="4"/>
      <c r="I132" s="4" t="s">
        <v>23</v>
      </c>
      <c r="J132" s="4" t="s">
        <v>189</v>
      </c>
      <c r="K132" s="4"/>
      <c r="L132" s="4" t="s">
        <v>23</v>
      </c>
      <c r="M132" s="4" t="s">
        <v>189</v>
      </c>
      <c r="N132" s="4"/>
      <c r="O132" s="4" t="s">
        <v>23</v>
      </c>
      <c r="P132" s="4" t="s">
        <v>189</v>
      </c>
      <c r="Q132" s="4"/>
    </row>
    <row r="133" spans="1:17" hidden="1" x14ac:dyDescent="0.35">
      <c r="A133" s="4" t="s">
        <v>4</v>
      </c>
      <c r="B133" s="5" t="s">
        <v>48</v>
      </c>
      <c r="C133" s="5" t="s">
        <v>7</v>
      </c>
      <c r="D133" s="5" t="s">
        <v>19</v>
      </c>
      <c r="E133" s="4">
        <v>16</v>
      </c>
      <c r="F133" s="4" t="s">
        <v>19</v>
      </c>
      <c r="G133" s="4" t="s">
        <v>189</v>
      </c>
      <c r="H133" s="4"/>
      <c r="I133" s="4" t="s">
        <v>19</v>
      </c>
      <c r="J133" s="4" t="s">
        <v>189</v>
      </c>
      <c r="K133" s="4"/>
      <c r="L133" s="4" t="s">
        <v>19</v>
      </c>
      <c r="M133" s="4" t="s">
        <v>189</v>
      </c>
      <c r="N133" s="4"/>
      <c r="O133" s="4" t="s">
        <v>19</v>
      </c>
      <c r="P133" s="4" t="s">
        <v>189</v>
      </c>
      <c r="Q133" s="4"/>
    </row>
    <row r="134" spans="1:17" hidden="1" x14ac:dyDescent="0.35">
      <c r="A134" s="4" t="s">
        <v>4</v>
      </c>
      <c r="B134" s="5" t="s">
        <v>48</v>
      </c>
      <c r="C134" s="5" t="s">
        <v>10</v>
      </c>
      <c r="D134" s="5" t="s">
        <v>19</v>
      </c>
      <c r="E134" s="4">
        <v>2</v>
      </c>
      <c r="F134" s="4" t="s">
        <v>19</v>
      </c>
      <c r="G134" s="4" t="s">
        <v>189</v>
      </c>
      <c r="H134" s="4"/>
      <c r="I134" s="4" t="s">
        <v>19</v>
      </c>
      <c r="J134" s="4" t="s">
        <v>189</v>
      </c>
      <c r="K134" s="4"/>
      <c r="L134" s="4" t="s">
        <v>19</v>
      </c>
      <c r="M134" s="4" t="s">
        <v>189</v>
      </c>
      <c r="N134" s="4"/>
      <c r="O134" s="4" t="s">
        <v>19</v>
      </c>
      <c r="P134" s="4" t="s">
        <v>189</v>
      </c>
      <c r="Q134" s="4"/>
    </row>
    <row r="135" spans="1:17" hidden="1" x14ac:dyDescent="0.35">
      <c r="A135" s="4" t="s">
        <v>4</v>
      </c>
      <c r="B135" s="5" t="s">
        <v>49</v>
      </c>
      <c r="C135" s="5" t="s">
        <v>7</v>
      </c>
      <c r="D135" s="5" t="s">
        <v>19</v>
      </c>
      <c r="E135" s="4">
        <v>13</v>
      </c>
      <c r="F135" s="4" t="s">
        <v>19</v>
      </c>
      <c r="G135" s="4" t="s">
        <v>189</v>
      </c>
      <c r="H135" s="4"/>
      <c r="I135" s="4" t="s">
        <v>19</v>
      </c>
      <c r="J135" s="4" t="s">
        <v>189</v>
      </c>
      <c r="K135" s="4"/>
      <c r="L135" s="4" t="s">
        <v>19</v>
      </c>
      <c r="M135" s="4" t="s">
        <v>189</v>
      </c>
      <c r="N135" s="4"/>
      <c r="O135" s="4" t="s">
        <v>19</v>
      </c>
      <c r="P135" s="4" t="s">
        <v>189</v>
      </c>
      <c r="Q135" s="4"/>
    </row>
    <row r="136" spans="1:17" hidden="1" x14ac:dyDescent="0.35">
      <c r="A136" s="4" t="s">
        <v>4</v>
      </c>
      <c r="B136" s="5" t="s">
        <v>49</v>
      </c>
      <c r="C136" s="5" t="s">
        <v>10</v>
      </c>
      <c r="D136" s="5" t="s">
        <v>19</v>
      </c>
      <c r="E136" s="4">
        <v>2</v>
      </c>
      <c r="F136" s="4" t="s">
        <v>19</v>
      </c>
      <c r="G136" s="4" t="s">
        <v>189</v>
      </c>
      <c r="H136" s="4"/>
      <c r="I136" s="4" t="s">
        <v>19</v>
      </c>
      <c r="J136" s="4" t="s">
        <v>189</v>
      </c>
      <c r="K136" s="4"/>
      <c r="L136" s="4" t="s">
        <v>19</v>
      </c>
      <c r="M136" s="4" t="s">
        <v>189</v>
      </c>
      <c r="N136" s="4"/>
      <c r="O136" s="4" t="s">
        <v>19</v>
      </c>
      <c r="P136" s="4" t="s">
        <v>189</v>
      </c>
      <c r="Q136" s="4"/>
    </row>
    <row r="137" spans="1:17" hidden="1" x14ac:dyDescent="0.35">
      <c r="A137" s="4" t="s">
        <v>4</v>
      </c>
      <c r="B137" s="5" t="s">
        <v>21</v>
      </c>
      <c r="C137" s="5" t="s">
        <v>7</v>
      </c>
      <c r="D137" s="5" t="s">
        <v>19</v>
      </c>
      <c r="E137" s="4">
        <v>12</v>
      </c>
      <c r="F137" s="4" t="s">
        <v>19</v>
      </c>
      <c r="G137" s="4" t="s">
        <v>189</v>
      </c>
      <c r="H137" s="4"/>
      <c r="I137" s="4" t="s">
        <v>19</v>
      </c>
      <c r="J137" s="4" t="s">
        <v>189</v>
      </c>
      <c r="K137" s="4"/>
      <c r="L137" s="4" t="s">
        <v>19</v>
      </c>
      <c r="M137" s="4" t="s">
        <v>189</v>
      </c>
      <c r="N137" s="4"/>
      <c r="O137" s="4" t="s">
        <v>19</v>
      </c>
      <c r="P137" s="4" t="s">
        <v>189</v>
      </c>
      <c r="Q137" s="4"/>
    </row>
    <row r="138" spans="1:17" hidden="1" x14ac:dyDescent="0.35">
      <c r="A138" s="4" t="s">
        <v>4</v>
      </c>
      <c r="B138" s="5" t="s">
        <v>50</v>
      </c>
      <c r="C138" s="5" t="s">
        <v>7</v>
      </c>
      <c r="D138" s="5" t="s">
        <v>19</v>
      </c>
      <c r="E138" s="4">
        <v>14</v>
      </c>
      <c r="F138" s="4" t="s">
        <v>19</v>
      </c>
      <c r="G138" s="4" t="s">
        <v>189</v>
      </c>
      <c r="H138" s="4"/>
      <c r="I138" s="4" t="s">
        <v>19</v>
      </c>
      <c r="J138" s="4" t="s">
        <v>189</v>
      </c>
      <c r="K138" s="4"/>
      <c r="L138" s="4" t="s">
        <v>19</v>
      </c>
      <c r="M138" s="4" t="s">
        <v>189</v>
      </c>
      <c r="N138" s="4"/>
      <c r="O138" s="4" t="s">
        <v>19</v>
      </c>
      <c r="P138" s="4" t="s">
        <v>189</v>
      </c>
      <c r="Q138" s="4"/>
    </row>
    <row r="139" spans="1:17" hidden="1" x14ac:dyDescent="0.35">
      <c r="A139" s="4" t="s">
        <v>4</v>
      </c>
      <c r="B139" s="5" t="s">
        <v>50</v>
      </c>
      <c r="C139" s="5" t="s">
        <v>10</v>
      </c>
      <c r="D139" s="5" t="s">
        <v>19</v>
      </c>
      <c r="E139" s="4">
        <v>2</v>
      </c>
      <c r="F139" s="4" t="s">
        <v>19</v>
      </c>
      <c r="G139" s="4" t="s">
        <v>189</v>
      </c>
      <c r="H139" s="4"/>
      <c r="I139" s="4" t="s">
        <v>19</v>
      </c>
      <c r="J139" s="4" t="s">
        <v>189</v>
      </c>
      <c r="K139" s="4"/>
      <c r="L139" s="4" t="s">
        <v>19</v>
      </c>
      <c r="M139" s="4" t="s">
        <v>189</v>
      </c>
      <c r="N139" s="4"/>
      <c r="O139" s="4" t="s">
        <v>19</v>
      </c>
      <c r="P139" s="4" t="s">
        <v>189</v>
      </c>
      <c r="Q139" s="4"/>
    </row>
    <row r="140" spans="1:17" hidden="1" x14ac:dyDescent="0.35">
      <c r="A140" s="4" t="s">
        <v>4</v>
      </c>
      <c r="B140" s="5" t="s">
        <v>81</v>
      </c>
      <c r="C140" s="5" t="s">
        <v>7</v>
      </c>
      <c r="D140" s="5" t="s">
        <v>19</v>
      </c>
      <c r="E140" s="4">
        <v>32</v>
      </c>
      <c r="F140" s="4" t="s">
        <v>19</v>
      </c>
      <c r="G140" s="4" t="s">
        <v>189</v>
      </c>
      <c r="H140" s="4"/>
      <c r="I140" s="4" t="s">
        <v>19</v>
      </c>
      <c r="J140" s="4" t="s">
        <v>189</v>
      </c>
      <c r="K140" s="4"/>
      <c r="L140" s="4" t="s">
        <v>19</v>
      </c>
      <c r="M140" s="4" t="s">
        <v>189</v>
      </c>
      <c r="N140" s="4"/>
      <c r="O140" s="4" t="s">
        <v>19</v>
      </c>
      <c r="P140" s="4" t="s">
        <v>189</v>
      </c>
      <c r="Q140" s="4"/>
    </row>
    <row r="141" spans="1:17" hidden="1" x14ac:dyDescent="0.35">
      <c r="A141" s="4" t="s">
        <v>4</v>
      </c>
      <c r="B141" s="5" t="s">
        <v>81</v>
      </c>
      <c r="C141" s="5" t="s">
        <v>10</v>
      </c>
      <c r="D141" s="5" t="s">
        <v>19</v>
      </c>
      <c r="E141" s="4">
        <v>4</v>
      </c>
      <c r="F141" s="4" t="s">
        <v>19</v>
      </c>
      <c r="G141" s="4" t="s">
        <v>189</v>
      </c>
      <c r="H141" s="4"/>
      <c r="I141" s="4" t="s">
        <v>19</v>
      </c>
      <c r="J141" s="4" t="s">
        <v>189</v>
      </c>
      <c r="K141" s="4"/>
      <c r="L141" s="4" t="s">
        <v>19</v>
      </c>
      <c r="M141" s="4" t="s">
        <v>189</v>
      </c>
      <c r="N141" s="4"/>
      <c r="O141" s="4" t="s">
        <v>19</v>
      </c>
      <c r="P141" s="4" t="s">
        <v>189</v>
      </c>
      <c r="Q141" s="4"/>
    </row>
    <row r="142" spans="1:17" hidden="1" x14ac:dyDescent="0.35">
      <c r="A142" s="4" t="s">
        <v>4</v>
      </c>
      <c r="B142" s="5" t="s">
        <v>51</v>
      </c>
      <c r="C142" s="5" t="s">
        <v>7</v>
      </c>
      <c r="D142" s="5" t="s">
        <v>23</v>
      </c>
      <c r="E142" s="4">
        <v>14</v>
      </c>
      <c r="F142" s="4" t="s">
        <v>23</v>
      </c>
      <c r="G142" s="4" t="s">
        <v>189</v>
      </c>
      <c r="H142" s="4"/>
      <c r="I142" s="4" t="s">
        <v>23</v>
      </c>
      <c r="J142" s="4" t="s">
        <v>189</v>
      </c>
      <c r="K142" s="4"/>
      <c r="L142" s="4" t="s">
        <v>23</v>
      </c>
      <c r="M142" s="4" t="s">
        <v>189</v>
      </c>
      <c r="N142" s="4"/>
      <c r="O142" s="4" t="s">
        <v>23</v>
      </c>
      <c r="P142" s="4" t="s">
        <v>189</v>
      </c>
      <c r="Q142" s="4"/>
    </row>
    <row r="143" spans="1:17" hidden="1" x14ac:dyDescent="0.35">
      <c r="A143" s="4" t="s">
        <v>4</v>
      </c>
      <c r="B143" s="5" t="s">
        <v>51</v>
      </c>
      <c r="C143" s="5" t="s">
        <v>10</v>
      </c>
      <c r="D143" s="5" t="s">
        <v>23</v>
      </c>
      <c r="E143" s="4">
        <v>2</v>
      </c>
      <c r="F143" s="4" t="s">
        <v>23</v>
      </c>
      <c r="G143" s="4" t="s">
        <v>189</v>
      </c>
      <c r="H143" s="4"/>
      <c r="I143" s="4" t="s">
        <v>23</v>
      </c>
      <c r="J143" s="4" t="s">
        <v>189</v>
      </c>
      <c r="K143" s="4"/>
      <c r="L143" s="4" t="s">
        <v>23</v>
      </c>
      <c r="M143" s="4" t="s">
        <v>189</v>
      </c>
      <c r="N143" s="4"/>
      <c r="O143" s="4" t="s">
        <v>23</v>
      </c>
      <c r="P143" s="4" t="s">
        <v>189</v>
      </c>
      <c r="Q143" s="4"/>
    </row>
    <row r="144" spans="1:17" hidden="1" x14ac:dyDescent="0.35">
      <c r="A144" s="4" t="s">
        <v>4</v>
      </c>
      <c r="B144" s="5" t="s">
        <v>52</v>
      </c>
      <c r="C144" s="5" t="s">
        <v>7</v>
      </c>
      <c r="D144" s="5" t="s">
        <v>19</v>
      </c>
      <c r="E144" s="4">
        <v>13</v>
      </c>
      <c r="F144" s="4" t="s">
        <v>19</v>
      </c>
      <c r="G144" s="4" t="s">
        <v>189</v>
      </c>
      <c r="H144" s="4"/>
      <c r="I144" s="4" t="s">
        <v>19</v>
      </c>
      <c r="J144" s="4" t="s">
        <v>189</v>
      </c>
      <c r="K144" s="4"/>
      <c r="L144" s="4" t="s">
        <v>19</v>
      </c>
      <c r="M144" s="4" t="s">
        <v>189</v>
      </c>
      <c r="N144" s="4"/>
      <c r="O144" s="4" t="s">
        <v>19</v>
      </c>
      <c r="P144" s="4" t="s">
        <v>189</v>
      </c>
      <c r="Q144" s="4"/>
    </row>
    <row r="145" spans="1:17" hidden="1" x14ac:dyDescent="0.35">
      <c r="A145" s="4" t="s">
        <v>4</v>
      </c>
      <c r="B145" s="5" t="s">
        <v>52</v>
      </c>
      <c r="C145" s="5" t="s">
        <v>10</v>
      </c>
      <c r="D145" s="5" t="s">
        <v>19</v>
      </c>
      <c r="E145" s="4">
        <v>2</v>
      </c>
      <c r="F145" s="4" t="s">
        <v>19</v>
      </c>
      <c r="G145" s="4" t="s">
        <v>189</v>
      </c>
      <c r="H145" s="4"/>
      <c r="I145" s="4" t="s">
        <v>19</v>
      </c>
      <c r="J145" s="4" t="s">
        <v>189</v>
      </c>
      <c r="K145" s="4"/>
      <c r="L145" s="4" t="s">
        <v>19</v>
      </c>
      <c r="M145" s="4" t="s">
        <v>189</v>
      </c>
      <c r="N145" s="4"/>
      <c r="O145" s="4" t="s">
        <v>19</v>
      </c>
      <c r="P145" s="4" t="s">
        <v>189</v>
      </c>
      <c r="Q145" s="4"/>
    </row>
    <row r="146" spans="1:17" hidden="1" x14ac:dyDescent="0.35">
      <c r="A146" s="4" t="s">
        <v>4</v>
      </c>
      <c r="B146" s="5" t="s">
        <v>87</v>
      </c>
      <c r="C146" s="5" t="s">
        <v>63</v>
      </c>
      <c r="D146" s="5" t="s">
        <v>13</v>
      </c>
      <c r="E146" s="4">
        <v>12</v>
      </c>
      <c r="F146" s="4" t="s">
        <v>188</v>
      </c>
      <c r="G146" s="4" t="s">
        <v>188</v>
      </c>
      <c r="H146" s="4"/>
      <c r="I146" s="4" t="s">
        <v>188</v>
      </c>
      <c r="J146" s="4" t="s">
        <v>188</v>
      </c>
      <c r="K146" s="4"/>
      <c r="L146" s="4" t="s">
        <v>188</v>
      </c>
      <c r="M146" s="4" t="s">
        <v>188</v>
      </c>
      <c r="N146" s="4"/>
      <c r="O146" s="4" t="s">
        <v>188</v>
      </c>
      <c r="P146" s="4" t="s">
        <v>188</v>
      </c>
      <c r="Q146" s="4"/>
    </row>
    <row r="147" spans="1:17" hidden="1" x14ac:dyDescent="0.35">
      <c r="A147" s="4" t="s">
        <v>4</v>
      </c>
      <c r="B147" s="5" t="s">
        <v>86</v>
      </c>
      <c r="C147" s="5" t="s">
        <v>14</v>
      </c>
      <c r="D147" s="5" t="s">
        <v>13</v>
      </c>
      <c r="E147" s="4">
        <v>18</v>
      </c>
      <c r="F147" s="4" t="s">
        <v>188</v>
      </c>
      <c r="G147" s="4" t="s">
        <v>188</v>
      </c>
      <c r="H147" s="4"/>
      <c r="I147" s="4" t="s">
        <v>188</v>
      </c>
      <c r="J147" s="4" t="s">
        <v>188</v>
      </c>
      <c r="K147" s="4"/>
      <c r="L147" s="4" t="s">
        <v>188</v>
      </c>
      <c r="M147" s="4" t="s">
        <v>188</v>
      </c>
      <c r="N147" s="4"/>
      <c r="O147" s="4" t="s">
        <v>188</v>
      </c>
      <c r="P147" s="4" t="s">
        <v>188</v>
      </c>
      <c r="Q147" s="4"/>
    </row>
    <row r="148" spans="1:17" ht="14.25" hidden="1" customHeight="1" x14ac:dyDescent="0.35">
      <c r="A148" s="4" t="s">
        <v>4</v>
      </c>
      <c r="B148" s="5" t="s">
        <v>253</v>
      </c>
      <c r="C148" s="5" t="s">
        <v>63</v>
      </c>
      <c r="D148" s="5" t="s">
        <v>13</v>
      </c>
      <c r="E148" s="4">
        <v>16</v>
      </c>
      <c r="F148" s="4" t="s">
        <v>188</v>
      </c>
      <c r="G148" s="4" t="s">
        <v>188</v>
      </c>
      <c r="H148" s="4"/>
      <c r="I148" s="4" t="s">
        <v>188</v>
      </c>
      <c r="J148" s="4" t="s">
        <v>188</v>
      </c>
      <c r="K148" s="4"/>
      <c r="L148" s="4" t="s">
        <v>188</v>
      </c>
      <c r="M148" s="4" t="s">
        <v>188</v>
      </c>
      <c r="N148" s="4"/>
      <c r="O148" s="4" t="s">
        <v>23</v>
      </c>
      <c r="P148" s="4" t="s">
        <v>187</v>
      </c>
      <c r="Q148" s="4"/>
    </row>
    <row r="149" spans="1:17" hidden="1" x14ac:dyDescent="0.35">
      <c r="A149" s="4" t="s">
        <v>4</v>
      </c>
      <c r="B149" s="5" t="s">
        <v>254</v>
      </c>
      <c r="C149" s="5" t="s">
        <v>63</v>
      </c>
      <c r="D149" s="5" t="s">
        <v>13</v>
      </c>
      <c r="E149" s="4">
        <v>8</v>
      </c>
      <c r="F149" s="4" t="s">
        <v>188</v>
      </c>
      <c r="G149" s="4" t="s">
        <v>188</v>
      </c>
      <c r="H149" s="4"/>
      <c r="I149" s="4" t="s">
        <v>188</v>
      </c>
      <c r="J149" s="4" t="s">
        <v>188</v>
      </c>
      <c r="K149" s="4"/>
      <c r="L149" s="4" t="s">
        <v>188</v>
      </c>
      <c r="M149" s="4" t="s">
        <v>188</v>
      </c>
      <c r="N149" s="4"/>
      <c r="O149" s="4" t="s">
        <v>188</v>
      </c>
      <c r="P149" s="4" t="s">
        <v>188</v>
      </c>
      <c r="Q149" s="4"/>
    </row>
    <row r="150" spans="1:17" hidden="1" x14ac:dyDescent="0.35">
      <c r="A150" s="4" t="s">
        <v>4</v>
      </c>
      <c r="B150" s="5" t="s">
        <v>251</v>
      </c>
      <c r="C150" s="5" t="s">
        <v>14</v>
      </c>
      <c r="D150" s="5" t="s">
        <v>13</v>
      </c>
      <c r="E150" s="4">
        <v>24</v>
      </c>
      <c r="F150" s="4" t="s">
        <v>188</v>
      </c>
      <c r="G150" s="4" t="s">
        <v>188</v>
      </c>
      <c r="H150" s="4"/>
      <c r="I150" s="4" t="s">
        <v>188</v>
      </c>
      <c r="J150" s="4" t="s">
        <v>188</v>
      </c>
      <c r="K150" s="4"/>
      <c r="L150" s="4" t="s">
        <v>188</v>
      </c>
      <c r="M150" s="4" t="s">
        <v>188</v>
      </c>
      <c r="N150" s="4"/>
      <c r="O150" s="4" t="s">
        <v>188</v>
      </c>
      <c r="P150" s="4" t="s">
        <v>188</v>
      </c>
      <c r="Q150" s="4"/>
    </row>
    <row r="151" spans="1:17" hidden="1" x14ac:dyDescent="0.35">
      <c r="A151" s="4" t="s">
        <v>4</v>
      </c>
      <c r="B151" s="5" t="s">
        <v>252</v>
      </c>
      <c r="C151" s="5" t="s">
        <v>14</v>
      </c>
      <c r="D151" s="5" t="s">
        <v>13</v>
      </c>
      <c r="E151" s="4">
        <v>14</v>
      </c>
      <c r="F151" s="4" t="s">
        <v>188</v>
      </c>
      <c r="G151" s="4" t="s">
        <v>188</v>
      </c>
      <c r="H151" s="4"/>
      <c r="I151" s="4" t="s">
        <v>188</v>
      </c>
      <c r="J151" s="4" t="s">
        <v>188</v>
      </c>
      <c r="K151" s="4"/>
      <c r="L151" s="4" t="s">
        <v>188</v>
      </c>
      <c r="M151" s="4" t="s">
        <v>188</v>
      </c>
      <c r="N151" s="4"/>
      <c r="O151" s="4" t="s">
        <v>23</v>
      </c>
      <c r="P151" s="4" t="s">
        <v>187</v>
      </c>
      <c r="Q151" s="4"/>
    </row>
    <row r="152" spans="1:17" hidden="1" x14ac:dyDescent="0.35">
      <c r="A152" s="4" t="s">
        <v>4</v>
      </c>
      <c r="B152" s="5" t="s">
        <v>251</v>
      </c>
      <c r="C152" s="5" t="s">
        <v>15</v>
      </c>
      <c r="D152" s="5" t="s">
        <v>13</v>
      </c>
      <c r="E152" s="4">
        <v>2</v>
      </c>
      <c r="F152" s="4" t="s">
        <v>188</v>
      </c>
      <c r="G152" s="4" t="s">
        <v>188</v>
      </c>
      <c r="H152" s="4"/>
      <c r="I152" s="4" t="s">
        <v>188</v>
      </c>
      <c r="J152" s="4" t="s">
        <v>188</v>
      </c>
      <c r="K152" s="4"/>
      <c r="L152" s="4" t="s">
        <v>188</v>
      </c>
      <c r="M152" s="4" t="s">
        <v>188</v>
      </c>
      <c r="N152" s="4"/>
      <c r="O152" s="4" t="s">
        <v>23</v>
      </c>
      <c r="P152" s="4" t="s">
        <v>187</v>
      </c>
      <c r="Q152" s="4"/>
    </row>
    <row r="153" spans="1:17" hidden="1" x14ac:dyDescent="0.35">
      <c r="A153" s="4" t="s">
        <v>4</v>
      </c>
      <c r="B153" s="5" t="s">
        <v>252</v>
      </c>
      <c r="C153" s="5" t="s">
        <v>15</v>
      </c>
      <c r="D153" s="5" t="s">
        <v>13</v>
      </c>
      <c r="E153" s="4">
        <v>2</v>
      </c>
      <c r="F153" s="4" t="s">
        <v>188</v>
      </c>
      <c r="G153" s="4" t="s">
        <v>188</v>
      </c>
      <c r="H153" s="4"/>
      <c r="I153" s="4" t="s">
        <v>188</v>
      </c>
      <c r="J153" s="4" t="s">
        <v>188</v>
      </c>
      <c r="K153" s="4"/>
      <c r="L153" s="4" t="s">
        <v>188</v>
      </c>
      <c r="M153" s="4" t="s">
        <v>188</v>
      </c>
      <c r="N153" s="4"/>
      <c r="O153" s="4" t="s">
        <v>188</v>
      </c>
      <c r="P153" s="4" t="s">
        <v>188</v>
      </c>
      <c r="Q153" s="4"/>
    </row>
    <row r="154" spans="1:17" hidden="1" x14ac:dyDescent="0.35">
      <c r="A154" s="4" t="s">
        <v>4</v>
      </c>
      <c r="B154" s="5" t="s">
        <v>257</v>
      </c>
      <c r="C154" s="5" t="s">
        <v>63</v>
      </c>
      <c r="D154" s="5" t="s">
        <v>13</v>
      </c>
      <c r="E154" s="4">
        <v>16</v>
      </c>
      <c r="F154" s="4" t="s">
        <v>188</v>
      </c>
      <c r="G154" s="4" t="s">
        <v>188</v>
      </c>
      <c r="H154" s="4"/>
      <c r="I154" s="4" t="s">
        <v>188</v>
      </c>
      <c r="J154" s="4" t="s">
        <v>188</v>
      </c>
      <c r="K154" s="4"/>
      <c r="L154" s="4" t="s">
        <v>188</v>
      </c>
      <c r="M154" s="4" t="s">
        <v>188</v>
      </c>
      <c r="N154" s="4"/>
      <c r="O154" s="4" t="s">
        <v>188</v>
      </c>
      <c r="P154" s="4" t="s">
        <v>188</v>
      </c>
      <c r="Q154" s="4"/>
    </row>
    <row r="155" spans="1:17" hidden="1" x14ac:dyDescent="0.35">
      <c r="A155" s="4" t="s">
        <v>4</v>
      </c>
      <c r="B155" s="5" t="s">
        <v>258</v>
      </c>
      <c r="C155" s="5" t="s">
        <v>63</v>
      </c>
      <c r="D155" s="5" t="s">
        <v>13</v>
      </c>
      <c r="E155" s="4">
        <v>4</v>
      </c>
      <c r="F155" s="4" t="s">
        <v>188</v>
      </c>
      <c r="G155" s="4" t="s">
        <v>188</v>
      </c>
      <c r="H155" s="4"/>
      <c r="I155" s="4" t="s">
        <v>188</v>
      </c>
      <c r="J155" s="4" t="s">
        <v>188</v>
      </c>
      <c r="K155" s="4"/>
      <c r="L155" s="4" t="s">
        <v>188</v>
      </c>
      <c r="M155" s="4" t="s">
        <v>188</v>
      </c>
      <c r="N155" s="4"/>
      <c r="O155" s="4" t="s">
        <v>188</v>
      </c>
      <c r="P155" s="4" t="s">
        <v>188</v>
      </c>
      <c r="Q155" s="4"/>
    </row>
    <row r="156" spans="1:17" hidden="1" x14ac:dyDescent="0.35">
      <c r="A156" s="4" t="s">
        <v>4</v>
      </c>
      <c r="B156" s="5" t="s">
        <v>255</v>
      </c>
      <c r="C156" s="5" t="s">
        <v>14</v>
      </c>
      <c r="D156" s="5" t="s">
        <v>13</v>
      </c>
      <c r="E156" s="4">
        <v>11</v>
      </c>
      <c r="F156" s="4" t="s">
        <v>188</v>
      </c>
      <c r="G156" s="4" t="s">
        <v>188</v>
      </c>
      <c r="H156" s="4"/>
      <c r="I156" s="4" t="s">
        <v>188</v>
      </c>
      <c r="J156" s="4" t="s">
        <v>188</v>
      </c>
      <c r="K156" s="4"/>
      <c r="L156" s="4" t="s">
        <v>188</v>
      </c>
      <c r="M156" s="4" t="s">
        <v>188</v>
      </c>
      <c r="N156" s="4"/>
      <c r="O156" s="4" t="s">
        <v>23</v>
      </c>
      <c r="P156" s="4" t="s">
        <v>187</v>
      </c>
      <c r="Q156" s="4"/>
    </row>
    <row r="157" spans="1:17" hidden="1" x14ac:dyDescent="0.35">
      <c r="A157" s="4" t="s">
        <v>4</v>
      </c>
      <c r="B157" s="5" t="s">
        <v>256</v>
      </c>
      <c r="C157" s="5" t="s">
        <v>14</v>
      </c>
      <c r="D157" s="5" t="s">
        <v>13</v>
      </c>
      <c r="E157" s="4">
        <v>14</v>
      </c>
      <c r="F157" s="4" t="s">
        <v>188</v>
      </c>
      <c r="G157" s="4" t="s">
        <v>188</v>
      </c>
      <c r="H157" s="4"/>
      <c r="I157" s="4" t="s">
        <v>188</v>
      </c>
      <c r="J157" s="4" t="s">
        <v>188</v>
      </c>
      <c r="K157" s="4"/>
      <c r="L157" s="4" t="s">
        <v>188</v>
      </c>
      <c r="M157" s="4" t="s">
        <v>188</v>
      </c>
      <c r="N157" s="4"/>
      <c r="O157" s="4" t="s">
        <v>23</v>
      </c>
      <c r="P157" s="4" t="s">
        <v>187</v>
      </c>
      <c r="Q157" s="4"/>
    </row>
    <row r="158" spans="1:17" hidden="1" x14ac:dyDescent="0.35">
      <c r="A158" s="4" t="s">
        <v>4</v>
      </c>
      <c r="B158" s="5" t="s">
        <v>255</v>
      </c>
      <c r="C158" s="5" t="s">
        <v>15</v>
      </c>
      <c r="D158" s="5" t="s">
        <v>13</v>
      </c>
      <c r="E158" s="4">
        <v>4</v>
      </c>
      <c r="F158" s="4" t="s">
        <v>188</v>
      </c>
      <c r="G158" s="4" t="s">
        <v>188</v>
      </c>
      <c r="H158" s="4"/>
      <c r="I158" s="4" t="s">
        <v>188</v>
      </c>
      <c r="J158" s="4" t="s">
        <v>188</v>
      </c>
      <c r="K158" s="4"/>
      <c r="L158" s="4" t="s">
        <v>188</v>
      </c>
      <c r="M158" s="4" t="s">
        <v>188</v>
      </c>
      <c r="N158" s="4"/>
      <c r="O158" s="4" t="s">
        <v>23</v>
      </c>
      <c r="P158" s="4" t="s">
        <v>187</v>
      </c>
      <c r="Q158" s="4"/>
    </row>
    <row r="159" spans="1:17" hidden="1" x14ac:dyDescent="0.35">
      <c r="A159" s="4" t="s">
        <v>4</v>
      </c>
      <c r="B159" s="5" t="s">
        <v>256</v>
      </c>
      <c r="C159" s="5" t="s">
        <v>15</v>
      </c>
      <c r="D159" s="5" t="s">
        <v>13</v>
      </c>
      <c r="E159" s="4">
        <v>2</v>
      </c>
      <c r="F159" s="4" t="s">
        <v>188</v>
      </c>
      <c r="G159" s="4" t="s">
        <v>188</v>
      </c>
      <c r="H159" s="4"/>
      <c r="I159" s="4" t="s">
        <v>188</v>
      </c>
      <c r="J159" s="4" t="s">
        <v>188</v>
      </c>
      <c r="K159" s="4"/>
      <c r="L159" s="4" t="s">
        <v>188</v>
      </c>
      <c r="M159" s="4" t="s">
        <v>188</v>
      </c>
      <c r="N159" s="4"/>
      <c r="O159" s="4" t="s">
        <v>23</v>
      </c>
      <c r="P159" s="4" t="s">
        <v>187</v>
      </c>
      <c r="Q159" s="4"/>
    </row>
    <row r="160" spans="1:17" hidden="1" x14ac:dyDescent="0.35">
      <c r="A160" s="4" t="s">
        <v>4</v>
      </c>
      <c r="B160" s="5" t="s">
        <v>64</v>
      </c>
      <c r="C160" s="5" t="s">
        <v>63</v>
      </c>
      <c r="D160" s="5" t="s">
        <v>13</v>
      </c>
      <c r="E160" s="4">
        <v>10</v>
      </c>
      <c r="F160" s="4" t="s">
        <v>188</v>
      </c>
      <c r="G160" s="4" t="s">
        <v>189</v>
      </c>
      <c r="H160" s="4"/>
      <c r="I160" s="4" t="s">
        <v>188</v>
      </c>
      <c r="J160" s="4" t="s">
        <v>189</v>
      </c>
      <c r="K160" s="4"/>
      <c r="L160" s="4" t="s">
        <v>188</v>
      </c>
      <c r="M160" s="4" t="s">
        <v>189</v>
      </c>
      <c r="N160" s="4"/>
      <c r="O160" s="4" t="s">
        <v>188</v>
      </c>
      <c r="P160" s="4" t="s">
        <v>189</v>
      </c>
      <c r="Q160" s="4"/>
    </row>
    <row r="161" spans="1:17" hidden="1" x14ac:dyDescent="0.35">
      <c r="A161" s="4" t="s">
        <v>4</v>
      </c>
      <c r="B161" s="5" t="s">
        <v>249</v>
      </c>
      <c r="C161" s="5" t="s">
        <v>14</v>
      </c>
      <c r="D161" s="5" t="s">
        <v>13</v>
      </c>
      <c r="E161" s="4">
        <v>14</v>
      </c>
      <c r="F161" s="4" t="s">
        <v>188</v>
      </c>
      <c r="G161" s="4" t="s">
        <v>188</v>
      </c>
      <c r="H161" s="4"/>
      <c r="I161" s="4" t="s">
        <v>188</v>
      </c>
      <c r="J161" s="4" t="s">
        <v>188</v>
      </c>
      <c r="K161" s="4"/>
      <c r="L161" s="4" t="s">
        <v>23</v>
      </c>
      <c r="M161" s="4" t="s">
        <v>187</v>
      </c>
      <c r="N161" s="4"/>
      <c r="O161" s="4" t="s">
        <v>23</v>
      </c>
      <c r="P161" s="4" t="s">
        <v>187</v>
      </c>
      <c r="Q161" s="4"/>
    </row>
    <row r="162" spans="1:17" hidden="1" x14ac:dyDescent="0.35">
      <c r="A162" s="4" t="s">
        <v>4</v>
      </c>
      <c r="B162" s="5" t="s">
        <v>250</v>
      </c>
      <c r="C162" s="5" t="s">
        <v>14</v>
      </c>
      <c r="D162" s="5" t="s">
        <v>13</v>
      </c>
      <c r="E162" s="4">
        <v>14</v>
      </c>
      <c r="F162" s="4" t="s">
        <v>188</v>
      </c>
      <c r="G162" s="4" t="s">
        <v>188</v>
      </c>
      <c r="H162" s="4"/>
      <c r="I162" s="4" t="s">
        <v>188</v>
      </c>
      <c r="J162" s="4" t="s">
        <v>188</v>
      </c>
      <c r="K162" s="4"/>
      <c r="L162" s="4" t="s">
        <v>188</v>
      </c>
      <c r="M162" s="4" t="s">
        <v>188</v>
      </c>
      <c r="N162" s="4"/>
      <c r="O162" s="4" t="s">
        <v>188</v>
      </c>
      <c r="P162" s="4" t="s">
        <v>188</v>
      </c>
      <c r="Q162" s="4"/>
    </row>
    <row r="163" spans="1:17" hidden="1" x14ac:dyDescent="0.35">
      <c r="A163" s="4" t="s">
        <v>4</v>
      </c>
      <c r="B163" s="5" t="s">
        <v>249</v>
      </c>
      <c r="C163" s="5" t="s">
        <v>15</v>
      </c>
      <c r="D163" s="5" t="s">
        <v>13</v>
      </c>
      <c r="E163" s="4">
        <v>2</v>
      </c>
      <c r="F163" s="4" t="s">
        <v>188</v>
      </c>
      <c r="G163" s="4" t="s">
        <v>188</v>
      </c>
      <c r="H163" s="4"/>
      <c r="I163" s="4" t="s">
        <v>188</v>
      </c>
      <c r="J163" s="4" t="s">
        <v>188</v>
      </c>
      <c r="K163" s="4"/>
      <c r="L163" s="4" t="s">
        <v>23</v>
      </c>
      <c r="M163" s="4" t="s">
        <v>187</v>
      </c>
      <c r="N163" s="4"/>
      <c r="O163" s="4" t="s">
        <v>23</v>
      </c>
      <c r="P163" s="4" t="s">
        <v>187</v>
      </c>
      <c r="Q163" s="4"/>
    </row>
    <row r="164" spans="1:17" hidden="1" x14ac:dyDescent="0.35">
      <c r="A164" s="4" t="s">
        <v>4</v>
      </c>
      <c r="B164" s="5" t="s">
        <v>250</v>
      </c>
      <c r="C164" s="5" t="s">
        <v>15</v>
      </c>
      <c r="D164" s="5" t="s">
        <v>13</v>
      </c>
      <c r="E164" s="4">
        <v>2</v>
      </c>
      <c r="F164" s="4" t="s">
        <v>188</v>
      </c>
      <c r="G164" s="4" t="s">
        <v>188</v>
      </c>
      <c r="H164" s="4"/>
      <c r="I164" s="4" t="s">
        <v>188</v>
      </c>
      <c r="J164" s="4" t="s">
        <v>188</v>
      </c>
      <c r="K164" s="4"/>
      <c r="L164" s="4" t="s">
        <v>188</v>
      </c>
      <c r="M164" s="4" t="s">
        <v>188</v>
      </c>
      <c r="N164" s="4"/>
      <c r="O164" s="4" t="s">
        <v>188</v>
      </c>
      <c r="P164" s="4" t="s">
        <v>188</v>
      </c>
      <c r="Q164" s="4"/>
    </row>
    <row r="165" spans="1:17" hidden="1" x14ac:dyDescent="0.35">
      <c r="A165" s="4" t="s">
        <v>88</v>
      </c>
      <c r="B165" s="5" t="s">
        <v>89</v>
      </c>
      <c r="C165" s="5" t="s">
        <v>7</v>
      </c>
      <c r="D165" s="5" t="s">
        <v>19</v>
      </c>
      <c r="E165" s="4">
        <v>34</v>
      </c>
      <c r="F165" s="4" t="s">
        <v>19</v>
      </c>
      <c r="G165" s="4" t="s">
        <v>189</v>
      </c>
      <c r="H165" s="4"/>
      <c r="I165" s="4" t="s">
        <v>19</v>
      </c>
      <c r="J165" s="4" t="s">
        <v>187</v>
      </c>
      <c r="K165" s="4">
        <v>-6</v>
      </c>
      <c r="L165" s="4" t="s">
        <v>19</v>
      </c>
      <c r="M165" s="4" t="s">
        <v>187</v>
      </c>
      <c r="N165" s="4">
        <v>-6</v>
      </c>
      <c r="O165" s="4" t="s">
        <v>19</v>
      </c>
      <c r="P165" s="4" t="s">
        <v>187</v>
      </c>
      <c r="Q165" s="4">
        <v>-6</v>
      </c>
    </row>
    <row r="166" spans="1:17" hidden="1" x14ac:dyDescent="0.35">
      <c r="A166" s="4" t="s">
        <v>88</v>
      </c>
      <c r="B166" s="5" t="s">
        <v>89</v>
      </c>
      <c r="C166" s="5" t="s">
        <v>10</v>
      </c>
      <c r="D166" s="5" t="s">
        <v>19</v>
      </c>
      <c r="E166" s="4">
        <v>2</v>
      </c>
      <c r="F166" s="4" t="s">
        <v>19</v>
      </c>
      <c r="G166" s="4" t="s">
        <v>189</v>
      </c>
      <c r="H166" s="4"/>
      <c r="I166" s="4" t="s">
        <v>19</v>
      </c>
      <c r="J166" s="4" t="s">
        <v>187</v>
      </c>
      <c r="K166" s="4"/>
      <c r="L166" s="4" t="s">
        <v>19</v>
      </c>
      <c r="M166" s="4" t="s">
        <v>187</v>
      </c>
      <c r="N166" s="4"/>
      <c r="O166" s="4" t="s">
        <v>19</v>
      </c>
      <c r="P166" s="4" t="s">
        <v>187</v>
      </c>
      <c r="Q166" s="4"/>
    </row>
    <row r="167" spans="1:17" hidden="1" x14ac:dyDescent="0.35">
      <c r="A167" s="4" t="s">
        <v>88</v>
      </c>
      <c r="B167" s="5" t="s">
        <v>89</v>
      </c>
      <c r="C167" s="5" t="s">
        <v>24</v>
      </c>
      <c r="D167" s="5" t="s">
        <v>19</v>
      </c>
      <c r="E167" s="4">
        <v>14</v>
      </c>
      <c r="F167" s="4" t="s">
        <v>188</v>
      </c>
      <c r="G167" s="4" t="s">
        <v>188</v>
      </c>
      <c r="H167" s="4"/>
      <c r="I167" s="4" t="s">
        <v>188</v>
      </c>
      <c r="J167" s="4" t="s">
        <v>188</v>
      </c>
      <c r="K167" s="4"/>
      <c r="L167" s="4" t="s">
        <v>188</v>
      </c>
      <c r="M167" s="4" t="s">
        <v>188</v>
      </c>
      <c r="N167" s="4"/>
      <c r="O167" s="4" t="s">
        <v>188</v>
      </c>
      <c r="P167" s="4" t="s">
        <v>188</v>
      </c>
      <c r="Q167" s="4"/>
    </row>
    <row r="168" spans="1:17" hidden="1" x14ac:dyDescent="0.35">
      <c r="A168" s="4" t="s">
        <v>88</v>
      </c>
      <c r="B168" s="5" t="s">
        <v>90</v>
      </c>
      <c r="C168" s="5" t="s">
        <v>7</v>
      </c>
      <c r="D168" s="5" t="s">
        <v>19</v>
      </c>
      <c r="E168" s="4">
        <v>34</v>
      </c>
      <c r="F168" s="4" t="s">
        <v>19</v>
      </c>
      <c r="G168" s="4" t="s">
        <v>189</v>
      </c>
      <c r="H168" s="4"/>
      <c r="I168" s="4" t="s">
        <v>19</v>
      </c>
      <c r="J168" s="4" t="s">
        <v>189</v>
      </c>
      <c r="K168" s="4"/>
      <c r="L168" s="4" t="s">
        <v>19</v>
      </c>
      <c r="M168" s="4" t="s">
        <v>189</v>
      </c>
      <c r="N168" s="4"/>
      <c r="O168" s="4" t="s">
        <v>19</v>
      </c>
      <c r="P168" s="4" t="s">
        <v>189</v>
      </c>
      <c r="Q168" s="4"/>
    </row>
    <row r="169" spans="1:17" hidden="1" x14ac:dyDescent="0.35">
      <c r="A169" s="4" t="s">
        <v>88</v>
      </c>
      <c r="B169" s="5" t="s">
        <v>90</v>
      </c>
      <c r="C169" s="5" t="s">
        <v>10</v>
      </c>
      <c r="D169" s="5" t="s">
        <v>19</v>
      </c>
      <c r="E169" s="4">
        <v>2</v>
      </c>
      <c r="F169" s="4" t="s">
        <v>19</v>
      </c>
      <c r="G169" s="4" t="s">
        <v>189</v>
      </c>
      <c r="H169" s="4"/>
      <c r="I169" s="4" t="s">
        <v>19</v>
      </c>
      <c r="J169" s="4" t="s">
        <v>189</v>
      </c>
      <c r="K169" s="4"/>
      <c r="L169" s="4" t="s">
        <v>19</v>
      </c>
      <c r="M169" s="4" t="s">
        <v>189</v>
      </c>
      <c r="N169" s="4"/>
      <c r="O169" s="4" t="s">
        <v>19</v>
      </c>
      <c r="P169" s="4" t="s">
        <v>189</v>
      </c>
      <c r="Q169" s="4"/>
    </row>
    <row r="170" spans="1:17" hidden="1" x14ac:dyDescent="0.35">
      <c r="A170" s="4" t="s">
        <v>88</v>
      </c>
      <c r="B170" s="5" t="s">
        <v>91</v>
      </c>
      <c r="C170" s="5" t="s">
        <v>7</v>
      </c>
      <c r="D170" s="5" t="s">
        <v>19</v>
      </c>
      <c r="E170" s="4">
        <v>35</v>
      </c>
      <c r="F170" s="4" t="s">
        <v>19</v>
      </c>
      <c r="G170" s="4" t="s">
        <v>189</v>
      </c>
      <c r="H170" s="4"/>
      <c r="I170" s="4" t="s">
        <v>19</v>
      </c>
      <c r="J170" s="4" t="s">
        <v>189</v>
      </c>
      <c r="K170" s="4"/>
      <c r="L170" s="4" t="s">
        <v>19</v>
      </c>
      <c r="M170" s="4" t="s">
        <v>189</v>
      </c>
      <c r="N170" s="4"/>
      <c r="O170" s="4" t="s">
        <v>19</v>
      </c>
      <c r="P170" s="4" t="s">
        <v>189</v>
      </c>
      <c r="Q170" s="4"/>
    </row>
    <row r="171" spans="1:17" hidden="1" x14ac:dyDescent="0.35">
      <c r="A171" s="4" t="s">
        <v>88</v>
      </c>
      <c r="B171" s="5" t="s">
        <v>91</v>
      </c>
      <c r="C171" s="5" t="s">
        <v>10</v>
      </c>
      <c r="D171" s="5" t="s">
        <v>19</v>
      </c>
      <c r="E171" s="4">
        <v>3</v>
      </c>
      <c r="F171" s="4" t="s">
        <v>19</v>
      </c>
      <c r="G171" s="4" t="s">
        <v>189</v>
      </c>
      <c r="H171" s="4"/>
      <c r="I171" s="4" t="s">
        <v>19</v>
      </c>
      <c r="J171" s="4" t="s">
        <v>189</v>
      </c>
      <c r="K171" s="4"/>
      <c r="L171" s="4" t="s">
        <v>19</v>
      </c>
      <c r="M171" s="4" t="s">
        <v>189</v>
      </c>
      <c r="N171" s="4"/>
      <c r="O171" s="4" t="s">
        <v>19</v>
      </c>
      <c r="P171" s="4" t="s">
        <v>189</v>
      </c>
      <c r="Q171" s="4"/>
    </row>
    <row r="172" spans="1:17" hidden="1" x14ac:dyDescent="0.35">
      <c r="A172" s="4" t="s">
        <v>88</v>
      </c>
      <c r="B172" s="5" t="s">
        <v>92</v>
      </c>
      <c r="C172" s="5" t="s">
        <v>7</v>
      </c>
      <c r="D172" s="5" t="s">
        <v>19</v>
      </c>
      <c r="E172" s="4">
        <v>36</v>
      </c>
      <c r="F172" s="4" t="s">
        <v>19</v>
      </c>
      <c r="G172" s="4" t="s">
        <v>189</v>
      </c>
      <c r="H172" s="4"/>
      <c r="I172" s="4" t="s">
        <v>19</v>
      </c>
      <c r="J172" s="4" t="s">
        <v>189</v>
      </c>
      <c r="K172" s="4"/>
      <c r="L172" s="4" t="s">
        <v>19</v>
      </c>
      <c r="M172" s="4" t="s">
        <v>189</v>
      </c>
      <c r="N172" s="4"/>
      <c r="O172" s="4" t="s">
        <v>19</v>
      </c>
      <c r="P172" s="4" t="s">
        <v>189</v>
      </c>
      <c r="Q172" s="4"/>
    </row>
    <row r="173" spans="1:17" hidden="1" x14ac:dyDescent="0.35">
      <c r="A173" s="4" t="s">
        <v>88</v>
      </c>
      <c r="B173" s="5" t="s">
        <v>92</v>
      </c>
      <c r="C173" s="5" t="s">
        <v>10</v>
      </c>
      <c r="D173" s="5" t="s">
        <v>19</v>
      </c>
      <c r="E173" s="4">
        <v>2</v>
      </c>
      <c r="F173" s="4" t="s">
        <v>19</v>
      </c>
      <c r="G173" s="4" t="s">
        <v>189</v>
      </c>
      <c r="H173" s="4"/>
      <c r="I173" s="4" t="s">
        <v>19</v>
      </c>
      <c r="J173" s="4" t="s">
        <v>189</v>
      </c>
      <c r="K173" s="4"/>
      <c r="L173" s="4" t="s">
        <v>19</v>
      </c>
      <c r="M173" s="4" t="s">
        <v>189</v>
      </c>
      <c r="N173" s="4"/>
      <c r="O173" s="4" t="s">
        <v>19</v>
      </c>
      <c r="P173" s="4" t="s">
        <v>189</v>
      </c>
      <c r="Q173" s="4"/>
    </row>
    <row r="174" spans="1:17" hidden="1" x14ac:dyDescent="0.35">
      <c r="A174" s="4" t="s">
        <v>88</v>
      </c>
      <c r="B174" s="5" t="s">
        <v>93</v>
      </c>
      <c r="C174" s="5" t="s">
        <v>7</v>
      </c>
      <c r="D174" s="5" t="s">
        <v>19</v>
      </c>
      <c r="E174" s="4">
        <v>10</v>
      </c>
      <c r="F174" s="4" t="s">
        <v>19</v>
      </c>
      <c r="G174" s="4" t="s">
        <v>187</v>
      </c>
      <c r="H174" s="4"/>
      <c r="I174" s="4" t="s">
        <v>19</v>
      </c>
      <c r="J174" s="4" t="s">
        <v>187</v>
      </c>
      <c r="K174" s="4"/>
      <c r="L174" s="4" t="s">
        <v>19</v>
      </c>
      <c r="M174" s="4" t="s">
        <v>187</v>
      </c>
      <c r="N174" s="4"/>
      <c r="O174" s="4" t="s">
        <v>19</v>
      </c>
      <c r="P174" s="4" t="s">
        <v>187</v>
      </c>
      <c r="Q174" s="4"/>
    </row>
    <row r="175" spans="1:17" hidden="1" x14ac:dyDescent="0.35">
      <c r="A175" s="4" t="s">
        <v>88</v>
      </c>
      <c r="B175" s="5" t="s">
        <v>94</v>
      </c>
      <c r="C175" s="5" t="s">
        <v>7</v>
      </c>
      <c r="D175" s="5" t="s">
        <v>19</v>
      </c>
      <c r="E175" s="4">
        <v>10</v>
      </c>
      <c r="F175" s="4" t="s">
        <v>19</v>
      </c>
      <c r="G175" s="4" t="s">
        <v>189</v>
      </c>
      <c r="H175" s="4"/>
      <c r="I175" s="4" t="s">
        <v>19</v>
      </c>
      <c r="J175" s="4" t="s">
        <v>189</v>
      </c>
      <c r="K175" s="4"/>
      <c r="L175" s="4" t="s">
        <v>19</v>
      </c>
      <c r="M175" s="4" t="s">
        <v>189</v>
      </c>
      <c r="N175" s="4"/>
      <c r="O175" s="4" t="s">
        <v>19</v>
      </c>
      <c r="P175" s="4" t="s">
        <v>189</v>
      </c>
      <c r="Q175" s="4"/>
    </row>
    <row r="176" spans="1:17" hidden="1" x14ac:dyDescent="0.35">
      <c r="A176" s="4" t="s">
        <v>88</v>
      </c>
      <c r="B176" s="5" t="s">
        <v>94</v>
      </c>
      <c r="C176" s="5" t="s">
        <v>7</v>
      </c>
      <c r="D176" s="5" t="s">
        <v>23</v>
      </c>
      <c r="E176" s="4">
        <v>10</v>
      </c>
      <c r="F176" s="4" t="s">
        <v>23</v>
      </c>
      <c r="G176" s="4" t="s">
        <v>189</v>
      </c>
      <c r="H176" s="4"/>
      <c r="I176" s="4" t="s">
        <v>23</v>
      </c>
      <c r="J176" s="4" t="s">
        <v>189</v>
      </c>
      <c r="K176" s="4"/>
      <c r="L176" s="4" t="s">
        <v>23</v>
      </c>
      <c r="M176" s="4" t="s">
        <v>189</v>
      </c>
      <c r="N176" s="4"/>
      <c r="O176" s="4" t="s">
        <v>23</v>
      </c>
      <c r="P176" s="4" t="s">
        <v>189</v>
      </c>
      <c r="Q176" s="4"/>
    </row>
    <row r="177" spans="1:17" hidden="1" x14ac:dyDescent="0.35">
      <c r="A177" s="4" t="s">
        <v>88</v>
      </c>
      <c r="B177" s="5" t="s">
        <v>95</v>
      </c>
      <c r="C177" s="5" t="s">
        <v>7</v>
      </c>
      <c r="D177" s="5" t="s">
        <v>23</v>
      </c>
      <c r="E177" s="4">
        <v>8</v>
      </c>
      <c r="F177" s="4" t="s">
        <v>23</v>
      </c>
      <c r="G177" s="4" t="s">
        <v>189</v>
      </c>
      <c r="H177" s="4"/>
      <c r="I177" s="4" t="s">
        <v>23</v>
      </c>
      <c r="J177" s="4" t="s">
        <v>189</v>
      </c>
      <c r="K177" s="4"/>
      <c r="L177" s="4" t="s">
        <v>23</v>
      </c>
      <c r="M177" s="4" t="s">
        <v>189</v>
      </c>
      <c r="N177" s="4"/>
      <c r="O177" s="4" t="s">
        <v>23</v>
      </c>
      <c r="P177" s="4" t="s">
        <v>189</v>
      </c>
      <c r="Q177" s="4"/>
    </row>
    <row r="178" spans="1:17" hidden="1" x14ac:dyDescent="0.35">
      <c r="A178" s="4" t="s">
        <v>88</v>
      </c>
      <c r="B178" s="5" t="s">
        <v>96</v>
      </c>
      <c r="C178" s="5" t="s">
        <v>7</v>
      </c>
      <c r="D178" s="5" t="s">
        <v>19</v>
      </c>
      <c r="E178" s="4">
        <v>22</v>
      </c>
      <c r="F178" s="4" t="s">
        <v>19</v>
      </c>
      <c r="G178" s="4" t="s">
        <v>189</v>
      </c>
      <c r="H178" s="4"/>
      <c r="I178" s="4" t="s">
        <v>19</v>
      </c>
      <c r="J178" s="4" t="s">
        <v>189</v>
      </c>
      <c r="K178" s="4"/>
      <c r="L178" s="4" t="s">
        <v>19</v>
      </c>
      <c r="M178" s="4" t="s">
        <v>189</v>
      </c>
      <c r="N178" s="4"/>
      <c r="O178" s="4" t="s">
        <v>19</v>
      </c>
      <c r="P178" s="4" t="s">
        <v>189</v>
      </c>
      <c r="Q178" s="4"/>
    </row>
    <row r="179" spans="1:17" hidden="1" x14ac:dyDescent="0.35">
      <c r="A179" s="4" t="s">
        <v>88</v>
      </c>
      <c r="B179" s="5" t="s">
        <v>96</v>
      </c>
      <c r="C179" s="5" t="s">
        <v>10</v>
      </c>
      <c r="D179" s="5" t="s">
        <v>19</v>
      </c>
      <c r="E179" s="4">
        <v>1</v>
      </c>
      <c r="F179" s="4" t="s">
        <v>19</v>
      </c>
      <c r="G179" s="4" t="s">
        <v>189</v>
      </c>
      <c r="H179" s="4"/>
      <c r="I179" s="4" t="s">
        <v>19</v>
      </c>
      <c r="J179" s="4" t="s">
        <v>189</v>
      </c>
      <c r="K179" s="4"/>
      <c r="L179" s="4" t="s">
        <v>19</v>
      </c>
      <c r="M179" s="4" t="s">
        <v>189</v>
      </c>
      <c r="N179" s="4"/>
      <c r="O179" s="4" t="s">
        <v>19</v>
      </c>
      <c r="P179" s="4" t="s">
        <v>189</v>
      </c>
      <c r="Q179" s="4"/>
    </row>
    <row r="180" spans="1:17" hidden="1" x14ac:dyDescent="0.35">
      <c r="A180" s="4" t="s">
        <v>88</v>
      </c>
      <c r="B180" s="5" t="s">
        <v>97</v>
      </c>
      <c r="C180" s="5" t="s">
        <v>7</v>
      </c>
      <c r="D180" s="5" t="s">
        <v>19</v>
      </c>
      <c r="E180" s="4">
        <v>2</v>
      </c>
      <c r="F180" s="4" t="s">
        <v>19</v>
      </c>
      <c r="G180" s="4" t="s">
        <v>189</v>
      </c>
      <c r="H180" s="4"/>
      <c r="I180" s="4" t="s">
        <v>19</v>
      </c>
      <c r="J180" s="4" t="s">
        <v>189</v>
      </c>
      <c r="K180" s="4"/>
      <c r="L180" s="4" t="s">
        <v>19</v>
      </c>
      <c r="M180" s="4" t="s">
        <v>189</v>
      </c>
      <c r="N180" s="4"/>
      <c r="O180" s="4" t="s">
        <v>19</v>
      </c>
      <c r="P180" s="4" t="s">
        <v>189</v>
      </c>
      <c r="Q180" s="4"/>
    </row>
    <row r="181" spans="1:17" hidden="1" x14ac:dyDescent="0.35">
      <c r="A181" s="4" t="s">
        <v>88</v>
      </c>
      <c r="B181" s="5" t="s">
        <v>98</v>
      </c>
      <c r="C181" s="5" t="s">
        <v>7</v>
      </c>
      <c r="D181" s="5" t="s">
        <v>19</v>
      </c>
      <c r="E181" s="4">
        <v>22</v>
      </c>
      <c r="F181" s="4" t="s">
        <v>19</v>
      </c>
      <c r="G181" s="4" t="s">
        <v>189</v>
      </c>
      <c r="H181" s="4"/>
      <c r="I181" s="4" t="s">
        <v>19</v>
      </c>
      <c r="J181" s="4" t="s">
        <v>189</v>
      </c>
      <c r="K181" s="4"/>
      <c r="L181" s="4" t="s">
        <v>19</v>
      </c>
      <c r="M181" s="4" t="s">
        <v>189</v>
      </c>
      <c r="N181" s="4"/>
      <c r="O181" s="4" t="s">
        <v>19</v>
      </c>
      <c r="P181" s="4" t="s">
        <v>189</v>
      </c>
      <c r="Q181" s="4"/>
    </row>
    <row r="182" spans="1:17" hidden="1" x14ac:dyDescent="0.35">
      <c r="A182" s="4" t="s">
        <v>88</v>
      </c>
      <c r="B182" s="5" t="s">
        <v>99</v>
      </c>
      <c r="C182" s="5" t="s">
        <v>7</v>
      </c>
      <c r="D182" s="5" t="s">
        <v>23</v>
      </c>
      <c r="E182" s="4">
        <v>10</v>
      </c>
      <c r="F182" s="4" t="s">
        <v>23</v>
      </c>
      <c r="G182" s="4" t="s">
        <v>189</v>
      </c>
      <c r="H182" s="4"/>
      <c r="I182" s="4" t="s">
        <v>23</v>
      </c>
      <c r="J182" s="4" t="s">
        <v>189</v>
      </c>
      <c r="K182" s="4"/>
      <c r="L182" s="4" t="s">
        <v>23</v>
      </c>
      <c r="M182" s="4" t="s">
        <v>189</v>
      </c>
      <c r="N182" s="4"/>
      <c r="O182" s="4" t="s">
        <v>23</v>
      </c>
      <c r="P182" s="4" t="s">
        <v>189</v>
      </c>
      <c r="Q182" s="4"/>
    </row>
    <row r="183" spans="1:17" hidden="1" x14ac:dyDescent="0.35">
      <c r="A183" s="4" t="s">
        <v>88</v>
      </c>
      <c r="B183" s="5" t="s">
        <v>100</v>
      </c>
      <c r="C183" s="5" t="s">
        <v>7</v>
      </c>
      <c r="D183" s="5" t="s">
        <v>23</v>
      </c>
      <c r="E183" s="4">
        <v>8</v>
      </c>
      <c r="F183" s="4" t="s">
        <v>23</v>
      </c>
      <c r="G183" s="4" t="s">
        <v>187</v>
      </c>
      <c r="H183" s="4"/>
      <c r="I183" s="4" t="s">
        <v>23</v>
      </c>
      <c r="J183" s="4" t="s">
        <v>187</v>
      </c>
      <c r="K183" s="4"/>
      <c r="L183" s="4" t="s">
        <v>23</v>
      </c>
      <c r="M183" s="4" t="s">
        <v>187</v>
      </c>
      <c r="N183" s="4"/>
      <c r="O183" s="4" t="s">
        <v>23</v>
      </c>
      <c r="P183" s="4" t="s">
        <v>187</v>
      </c>
      <c r="Q183" s="4"/>
    </row>
    <row r="184" spans="1:17" hidden="1" x14ac:dyDescent="0.35">
      <c r="A184" s="4" t="s">
        <v>88</v>
      </c>
      <c r="B184" s="5" t="s">
        <v>100</v>
      </c>
      <c r="C184" s="5" t="s">
        <v>7</v>
      </c>
      <c r="D184" s="5" t="s">
        <v>23</v>
      </c>
      <c r="E184" s="4">
        <v>2</v>
      </c>
      <c r="F184" s="4" t="s">
        <v>23</v>
      </c>
      <c r="G184" s="4" t="s">
        <v>187</v>
      </c>
      <c r="H184" s="4"/>
      <c r="I184" s="4" t="s">
        <v>23</v>
      </c>
      <c r="J184" s="4" t="s">
        <v>187</v>
      </c>
      <c r="K184" s="4"/>
      <c r="L184" s="4" t="s">
        <v>23</v>
      </c>
      <c r="M184" s="4" t="s">
        <v>187</v>
      </c>
      <c r="N184" s="4"/>
      <c r="O184" s="4" t="s">
        <v>23</v>
      </c>
      <c r="P184" s="4" t="s">
        <v>187</v>
      </c>
      <c r="Q184" s="4"/>
    </row>
    <row r="185" spans="1:17" hidden="1" x14ac:dyDescent="0.35">
      <c r="A185" s="4" t="s">
        <v>88</v>
      </c>
      <c r="B185" s="5" t="s">
        <v>100</v>
      </c>
      <c r="C185" s="5" t="s">
        <v>10</v>
      </c>
      <c r="D185" s="5" t="s">
        <v>23</v>
      </c>
      <c r="E185" s="4">
        <v>2</v>
      </c>
      <c r="F185" s="4" t="s">
        <v>23</v>
      </c>
      <c r="G185" s="4" t="s">
        <v>187</v>
      </c>
      <c r="H185" s="4"/>
      <c r="I185" s="4" t="s">
        <v>23</v>
      </c>
      <c r="J185" s="4" t="s">
        <v>187</v>
      </c>
      <c r="K185" s="4"/>
      <c r="L185" s="4" t="s">
        <v>23</v>
      </c>
      <c r="M185" s="4" t="s">
        <v>187</v>
      </c>
      <c r="N185" s="4"/>
      <c r="O185" s="4" t="s">
        <v>23</v>
      </c>
      <c r="P185" s="4" t="s">
        <v>187</v>
      </c>
      <c r="Q185" s="4"/>
    </row>
    <row r="186" spans="1:17" hidden="1" x14ac:dyDescent="0.35">
      <c r="A186" s="4" t="s">
        <v>88</v>
      </c>
      <c r="B186" s="5" t="s">
        <v>101</v>
      </c>
      <c r="C186" s="5" t="s">
        <v>7</v>
      </c>
      <c r="D186" s="5" t="s">
        <v>23</v>
      </c>
      <c r="E186" s="4">
        <v>12</v>
      </c>
      <c r="F186" s="4" t="s">
        <v>23</v>
      </c>
      <c r="G186" s="4" t="s">
        <v>189</v>
      </c>
      <c r="H186" s="4"/>
      <c r="I186" s="4" t="s">
        <v>23</v>
      </c>
      <c r="J186" s="4" t="s">
        <v>189</v>
      </c>
      <c r="K186" s="4"/>
      <c r="L186" s="4" t="s">
        <v>23</v>
      </c>
      <c r="M186" s="4" t="s">
        <v>189</v>
      </c>
      <c r="N186" s="4"/>
      <c r="O186" s="4" t="s">
        <v>23</v>
      </c>
      <c r="P186" s="4" t="s">
        <v>189</v>
      </c>
      <c r="Q186" s="4"/>
    </row>
    <row r="187" spans="1:17" hidden="1" x14ac:dyDescent="0.35">
      <c r="A187" s="4" t="s">
        <v>88</v>
      </c>
      <c r="B187" s="5" t="s">
        <v>102</v>
      </c>
      <c r="C187" s="5" t="s">
        <v>7</v>
      </c>
      <c r="D187" s="5" t="s">
        <v>19</v>
      </c>
      <c r="E187" s="4">
        <v>19</v>
      </c>
      <c r="F187" s="4" t="s">
        <v>19</v>
      </c>
      <c r="G187" s="4" t="s">
        <v>189</v>
      </c>
      <c r="H187" s="4"/>
      <c r="I187" s="4" t="s">
        <v>19</v>
      </c>
      <c r="J187" s="4" t="s">
        <v>189</v>
      </c>
      <c r="K187" s="4"/>
      <c r="L187" s="4" t="s">
        <v>19</v>
      </c>
      <c r="M187" s="4" t="s">
        <v>189</v>
      </c>
      <c r="N187" s="4"/>
      <c r="O187" s="4" t="s">
        <v>19</v>
      </c>
      <c r="P187" s="4" t="s">
        <v>189</v>
      </c>
      <c r="Q187" s="4"/>
    </row>
    <row r="188" spans="1:17" hidden="1" x14ac:dyDescent="0.35">
      <c r="A188" s="4" t="s">
        <v>88</v>
      </c>
      <c r="B188" s="5" t="s">
        <v>102</v>
      </c>
      <c r="C188" s="5" t="s">
        <v>10</v>
      </c>
      <c r="D188" s="5" t="s">
        <v>19</v>
      </c>
      <c r="E188" s="4">
        <v>3</v>
      </c>
      <c r="F188" s="4" t="s">
        <v>19</v>
      </c>
      <c r="G188" s="4" t="s">
        <v>189</v>
      </c>
      <c r="H188" s="4"/>
      <c r="I188" s="4" t="s">
        <v>19</v>
      </c>
      <c r="J188" s="4" t="s">
        <v>189</v>
      </c>
      <c r="K188" s="4"/>
      <c r="L188" s="4" t="s">
        <v>19</v>
      </c>
      <c r="M188" s="4" t="s">
        <v>189</v>
      </c>
      <c r="N188" s="4"/>
      <c r="O188" s="4" t="s">
        <v>19</v>
      </c>
      <c r="P188" s="4" t="s">
        <v>189</v>
      </c>
      <c r="Q188" s="4"/>
    </row>
    <row r="189" spans="1:17" hidden="1" x14ac:dyDescent="0.35">
      <c r="A189" s="4" t="s">
        <v>88</v>
      </c>
      <c r="B189" s="5" t="s">
        <v>103</v>
      </c>
      <c r="C189" s="5" t="s">
        <v>7</v>
      </c>
      <c r="D189" s="5" t="s">
        <v>28</v>
      </c>
      <c r="E189" s="4">
        <v>6</v>
      </c>
      <c r="F189" s="4" t="s">
        <v>19</v>
      </c>
      <c r="G189" s="4" t="s">
        <v>189</v>
      </c>
      <c r="H189" s="4"/>
      <c r="I189" s="4" t="s">
        <v>19</v>
      </c>
      <c r="J189" s="4" t="s">
        <v>189</v>
      </c>
      <c r="K189" s="4"/>
      <c r="L189" s="4" t="s">
        <v>19</v>
      </c>
      <c r="M189" s="4" t="s">
        <v>189</v>
      </c>
      <c r="N189" s="4"/>
      <c r="O189" s="4" t="s">
        <v>19</v>
      </c>
      <c r="P189" s="4" t="s">
        <v>189</v>
      </c>
      <c r="Q189" s="4"/>
    </row>
    <row r="190" spans="1:17" hidden="1" x14ac:dyDescent="0.35">
      <c r="A190" s="4" t="s">
        <v>88</v>
      </c>
      <c r="B190" s="5" t="s">
        <v>224</v>
      </c>
      <c r="C190" s="5" t="s">
        <v>7</v>
      </c>
      <c r="D190" s="5" t="s">
        <v>9</v>
      </c>
      <c r="E190" s="4">
        <v>9</v>
      </c>
      <c r="F190" s="4" t="s">
        <v>19</v>
      </c>
      <c r="G190" s="4" t="s">
        <v>187</v>
      </c>
      <c r="H190" s="4">
        <v>-1</v>
      </c>
      <c r="I190" s="4" t="s">
        <v>19</v>
      </c>
      <c r="J190" s="4" t="s">
        <v>187</v>
      </c>
      <c r="K190" s="4">
        <v>-1</v>
      </c>
      <c r="L190" s="4" t="s">
        <v>19</v>
      </c>
      <c r="M190" s="4" t="s">
        <v>187</v>
      </c>
      <c r="N190" s="4">
        <v>-1</v>
      </c>
      <c r="O190" s="4" t="s">
        <v>19</v>
      </c>
      <c r="P190" s="4" t="s">
        <v>187</v>
      </c>
      <c r="Q190" s="4">
        <v>-1</v>
      </c>
    </row>
    <row r="191" spans="1:17" hidden="1" x14ac:dyDescent="0.35">
      <c r="A191" s="4" t="s">
        <v>88</v>
      </c>
      <c r="B191" s="5" t="s">
        <v>224</v>
      </c>
      <c r="C191" s="5" t="s">
        <v>10</v>
      </c>
      <c r="D191" s="5" t="s">
        <v>9</v>
      </c>
      <c r="E191" s="4">
        <v>2</v>
      </c>
      <c r="F191" s="4" t="s">
        <v>19</v>
      </c>
      <c r="G191" s="4" t="s">
        <v>187</v>
      </c>
      <c r="H191" s="4"/>
      <c r="I191" s="4" t="s">
        <v>19</v>
      </c>
      <c r="J191" s="4" t="s">
        <v>187</v>
      </c>
      <c r="K191" s="4"/>
      <c r="L191" s="4" t="s">
        <v>19</v>
      </c>
      <c r="M191" s="4" t="s">
        <v>187</v>
      </c>
      <c r="N191" s="4"/>
      <c r="O191" s="4" t="s">
        <v>19</v>
      </c>
      <c r="P191" s="4" t="s">
        <v>187</v>
      </c>
      <c r="Q191" s="4"/>
    </row>
    <row r="192" spans="1:17" hidden="1" x14ac:dyDescent="0.35">
      <c r="A192" s="4" t="s">
        <v>88</v>
      </c>
      <c r="B192" s="5" t="s">
        <v>224</v>
      </c>
      <c r="C192" s="5" t="s">
        <v>7</v>
      </c>
      <c r="D192" s="5" t="s">
        <v>9</v>
      </c>
      <c r="E192" s="4">
        <v>3</v>
      </c>
      <c r="F192" s="4" t="s">
        <v>19</v>
      </c>
      <c r="G192" s="4" t="s">
        <v>187</v>
      </c>
      <c r="H192" s="4"/>
      <c r="I192" s="4" t="s">
        <v>19</v>
      </c>
      <c r="J192" s="4" t="s">
        <v>187</v>
      </c>
      <c r="K192" s="4"/>
      <c r="L192" s="4" t="s">
        <v>19</v>
      </c>
      <c r="M192" s="4" t="s">
        <v>187</v>
      </c>
      <c r="N192" s="4"/>
      <c r="O192" s="4" t="s">
        <v>19</v>
      </c>
      <c r="P192" s="4" t="s">
        <v>187</v>
      </c>
      <c r="Q192" s="4"/>
    </row>
    <row r="193" spans="1:17" hidden="1" x14ac:dyDescent="0.35">
      <c r="A193" s="4" t="s">
        <v>88</v>
      </c>
      <c r="B193" s="5" t="s">
        <v>226</v>
      </c>
      <c r="C193" s="5" t="s">
        <v>7</v>
      </c>
      <c r="D193" s="5" t="s">
        <v>19</v>
      </c>
      <c r="E193" s="4">
        <v>8</v>
      </c>
      <c r="F193" s="4" t="s">
        <v>19</v>
      </c>
      <c r="G193" s="4" t="s">
        <v>187</v>
      </c>
      <c r="H193" s="4">
        <v>-2</v>
      </c>
      <c r="I193" s="4" t="s">
        <v>19</v>
      </c>
      <c r="J193" s="4" t="s">
        <v>187</v>
      </c>
      <c r="K193" s="4">
        <v>-2</v>
      </c>
      <c r="L193" s="4" t="s">
        <v>19</v>
      </c>
      <c r="M193" s="4" t="s">
        <v>187</v>
      </c>
      <c r="N193" s="4">
        <v>-2</v>
      </c>
      <c r="O193" s="4" t="s">
        <v>19</v>
      </c>
      <c r="P193" s="4" t="s">
        <v>187</v>
      </c>
      <c r="Q193" s="4">
        <v>-2</v>
      </c>
    </row>
    <row r="194" spans="1:17" hidden="1" x14ac:dyDescent="0.35">
      <c r="A194" s="4" t="s">
        <v>88</v>
      </c>
      <c r="B194" s="5" t="s">
        <v>226</v>
      </c>
      <c r="C194" s="5" t="s">
        <v>10</v>
      </c>
      <c r="D194" s="5" t="s">
        <v>19</v>
      </c>
      <c r="E194" s="4">
        <v>1</v>
      </c>
      <c r="F194" s="4" t="s">
        <v>19</v>
      </c>
      <c r="G194" s="4" t="s">
        <v>187</v>
      </c>
      <c r="H194" s="4"/>
      <c r="I194" s="4" t="s">
        <v>19</v>
      </c>
      <c r="J194" s="4" t="s">
        <v>187</v>
      </c>
      <c r="K194" s="4"/>
      <c r="L194" s="4" t="s">
        <v>19</v>
      </c>
      <c r="M194" s="4" t="s">
        <v>187</v>
      </c>
      <c r="N194" s="4"/>
      <c r="O194" s="4" t="s">
        <v>19</v>
      </c>
      <c r="P194" s="4" t="s">
        <v>187</v>
      </c>
      <c r="Q194" s="4"/>
    </row>
    <row r="195" spans="1:17" hidden="1" x14ac:dyDescent="0.35">
      <c r="A195" s="4" t="s">
        <v>88</v>
      </c>
      <c r="B195" s="5" t="s">
        <v>105</v>
      </c>
      <c r="C195" s="5" t="s">
        <v>7</v>
      </c>
      <c r="D195" s="5" t="s">
        <v>19</v>
      </c>
      <c r="E195" s="4">
        <v>20</v>
      </c>
      <c r="F195" s="4" t="s">
        <v>19</v>
      </c>
      <c r="G195" s="4" t="s">
        <v>189</v>
      </c>
      <c r="H195" s="4"/>
      <c r="I195" s="4" t="s">
        <v>19</v>
      </c>
      <c r="J195" s="4" t="s">
        <v>189</v>
      </c>
      <c r="K195" s="4"/>
      <c r="L195" s="4" t="s">
        <v>19</v>
      </c>
      <c r="M195" s="4" t="s">
        <v>189</v>
      </c>
      <c r="N195" s="4"/>
      <c r="O195" s="4" t="s">
        <v>19</v>
      </c>
      <c r="P195" s="4" t="s">
        <v>189</v>
      </c>
      <c r="Q195" s="4"/>
    </row>
    <row r="196" spans="1:17" hidden="1" x14ac:dyDescent="0.35">
      <c r="A196" s="4" t="s">
        <v>88</v>
      </c>
      <c r="B196" s="5" t="s">
        <v>106</v>
      </c>
      <c r="C196" s="5" t="s">
        <v>7</v>
      </c>
      <c r="D196" s="5" t="s">
        <v>19</v>
      </c>
      <c r="E196" s="4">
        <v>22</v>
      </c>
      <c r="F196" s="4" t="s">
        <v>19</v>
      </c>
      <c r="G196" s="4" t="s">
        <v>189</v>
      </c>
      <c r="H196" s="4"/>
      <c r="I196" s="4" t="s">
        <v>19</v>
      </c>
      <c r="J196" s="4" t="s">
        <v>189</v>
      </c>
      <c r="K196" s="4"/>
      <c r="L196" s="4" t="s">
        <v>19</v>
      </c>
      <c r="M196" s="4" t="s">
        <v>189</v>
      </c>
      <c r="N196" s="4"/>
      <c r="O196" s="4" t="s">
        <v>19</v>
      </c>
      <c r="P196" s="4" t="s">
        <v>189</v>
      </c>
      <c r="Q196" s="4"/>
    </row>
    <row r="197" spans="1:17" hidden="1" x14ac:dyDescent="0.35">
      <c r="A197" s="4" t="s">
        <v>88</v>
      </c>
      <c r="B197" s="5" t="s">
        <v>107</v>
      </c>
      <c r="C197" s="5" t="s">
        <v>17</v>
      </c>
      <c r="D197" s="5" t="s">
        <v>13</v>
      </c>
      <c r="E197" s="4">
        <v>8</v>
      </c>
      <c r="F197" s="4" t="s">
        <v>188</v>
      </c>
      <c r="G197" s="4" t="s">
        <v>188</v>
      </c>
      <c r="H197" s="4"/>
      <c r="I197" s="4" t="s">
        <v>188</v>
      </c>
      <c r="J197" s="4" t="s">
        <v>188</v>
      </c>
      <c r="K197" s="4"/>
      <c r="L197" s="4" t="s">
        <v>188</v>
      </c>
      <c r="M197" s="4" t="s">
        <v>188</v>
      </c>
      <c r="N197" s="4"/>
      <c r="O197" s="4" t="s">
        <v>188</v>
      </c>
      <c r="P197" s="4" t="s">
        <v>188</v>
      </c>
      <c r="Q197" s="4"/>
    </row>
    <row r="198" spans="1:17" hidden="1" x14ac:dyDescent="0.35">
      <c r="A198" s="4" t="s">
        <v>88</v>
      </c>
      <c r="B198" s="5" t="s">
        <v>107</v>
      </c>
      <c r="C198" s="5" t="s">
        <v>15</v>
      </c>
      <c r="D198" s="5" t="s">
        <v>13</v>
      </c>
      <c r="E198" s="4">
        <v>2</v>
      </c>
      <c r="F198" s="4" t="s">
        <v>188</v>
      </c>
      <c r="G198" s="4" t="s">
        <v>188</v>
      </c>
      <c r="H198" s="4"/>
      <c r="I198" s="4" t="s">
        <v>188</v>
      </c>
      <c r="J198" s="4" t="s">
        <v>188</v>
      </c>
      <c r="K198" s="4"/>
      <c r="L198" s="4" t="s">
        <v>188</v>
      </c>
      <c r="M198" s="4" t="s">
        <v>188</v>
      </c>
      <c r="N198" s="4"/>
      <c r="O198" s="4" t="s">
        <v>188</v>
      </c>
      <c r="P198" s="4" t="s">
        <v>188</v>
      </c>
      <c r="Q198" s="4"/>
    </row>
    <row r="199" spans="1:17" hidden="1" x14ac:dyDescent="0.35">
      <c r="A199" s="4" t="s">
        <v>88</v>
      </c>
      <c r="B199" s="5" t="s">
        <v>108</v>
      </c>
      <c r="C199" s="5" t="s">
        <v>14</v>
      </c>
      <c r="D199" s="5" t="s">
        <v>13</v>
      </c>
      <c r="E199" s="4">
        <v>13</v>
      </c>
      <c r="F199" s="4" t="s">
        <v>188</v>
      </c>
      <c r="G199" s="4" t="s">
        <v>188</v>
      </c>
      <c r="H199" s="4"/>
      <c r="I199" s="4" t="s">
        <v>188</v>
      </c>
      <c r="J199" s="4" t="s">
        <v>188</v>
      </c>
      <c r="K199" s="4"/>
      <c r="L199" s="4" t="s">
        <v>188</v>
      </c>
      <c r="M199" s="4" t="s">
        <v>188</v>
      </c>
      <c r="N199" s="4"/>
      <c r="O199" s="4" t="s">
        <v>188</v>
      </c>
      <c r="P199" s="4" t="s">
        <v>188</v>
      </c>
      <c r="Q199" s="4"/>
    </row>
    <row r="200" spans="1:17" hidden="1" x14ac:dyDescent="0.35">
      <c r="A200" s="4" t="s">
        <v>88</v>
      </c>
      <c r="B200" s="5" t="s">
        <v>109</v>
      </c>
      <c r="C200" s="5" t="s">
        <v>110</v>
      </c>
      <c r="D200" s="5" t="s">
        <v>13</v>
      </c>
      <c r="E200" s="4">
        <v>16</v>
      </c>
      <c r="F200" s="4" t="s">
        <v>188</v>
      </c>
      <c r="G200" s="4" t="s">
        <v>188</v>
      </c>
      <c r="H200" s="4"/>
      <c r="I200" s="4" t="s">
        <v>188</v>
      </c>
      <c r="J200" s="4" t="s">
        <v>188</v>
      </c>
      <c r="K200" s="4"/>
      <c r="L200" s="4" t="s">
        <v>188</v>
      </c>
      <c r="M200" s="4" t="s">
        <v>188</v>
      </c>
      <c r="N200" s="4"/>
      <c r="O200" s="4" t="s">
        <v>188</v>
      </c>
      <c r="P200" s="4" t="s">
        <v>188</v>
      </c>
      <c r="Q200" s="4"/>
    </row>
    <row r="201" spans="1:17" hidden="1" x14ac:dyDescent="0.35">
      <c r="A201" s="4" t="s">
        <v>88</v>
      </c>
      <c r="B201" s="5" t="s">
        <v>111</v>
      </c>
      <c r="C201" s="5" t="s">
        <v>110</v>
      </c>
      <c r="D201" s="5" t="s">
        <v>13</v>
      </c>
      <c r="E201" s="4">
        <v>8</v>
      </c>
      <c r="F201" s="4" t="s">
        <v>188</v>
      </c>
      <c r="G201" s="4" t="s">
        <v>188</v>
      </c>
      <c r="H201" s="4"/>
      <c r="I201" s="4" t="s">
        <v>188</v>
      </c>
      <c r="J201" s="4" t="s">
        <v>188</v>
      </c>
      <c r="K201" s="4"/>
      <c r="L201" s="4" t="s">
        <v>188</v>
      </c>
      <c r="M201" s="4" t="s">
        <v>188</v>
      </c>
      <c r="N201" s="4"/>
      <c r="O201" s="4" t="s">
        <v>188</v>
      </c>
      <c r="P201" s="4" t="s">
        <v>188</v>
      </c>
      <c r="Q201" s="4"/>
    </row>
    <row r="202" spans="1:17" hidden="1" x14ac:dyDescent="0.35">
      <c r="A202" s="4" t="s">
        <v>88</v>
      </c>
      <c r="B202" s="5" t="s">
        <v>12</v>
      </c>
      <c r="C202" s="5" t="s">
        <v>17</v>
      </c>
      <c r="D202" s="5" t="s">
        <v>13</v>
      </c>
      <c r="E202" s="4">
        <v>9</v>
      </c>
      <c r="F202" s="4" t="s">
        <v>188</v>
      </c>
      <c r="G202" s="4" t="s">
        <v>188</v>
      </c>
      <c r="H202" s="4"/>
      <c r="I202" s="4" t="s">
        <v>188</v>
      </c>
      <c r="J202" s="4" t="s">
        <v>188</v>
      </c>
      <c r="K202" s="4"/>
      <c r="L202" s="4" t="s">
        <v>188</v>
      </c>
      <c r="M202" s="4" t="s">
        <v>188</v>
      </c>
      <c r="N202" s="4"/>
      <c r="O202" s="4" t="s">
        <v>188</v>
      </c>
      <c r="P202" s="4" t="s">
        <v>188</v>
      </c>
      <c r="Q202" s="4"/>
    </row>
    <row r="203" spans="1:17" hidden="1" x14ac:dyDescent="0.35">
      <c r="A203" s="4" t="s">
        <v>88</v>
      </c>
      <c r="B203" s="5" t="s">
        <v>112</v>
      </c>
      <c r="C203" s="5" t="s">
        <v>44</v>
      </c>
      <c r="D203" s="5" t="s">
        <v>113</v>
      </c>
      <c r="E203" s="4">
        <v>10</v>
      </c>
      <c r="F203" s="4" t="s">
        <v>19</v>
      </c>
      <c r="G203" s="4" t="s">
        <v>189</v>
      </c>
      <c r="H203" s="4"/>
      <c r="I203" s="4" t="s">
        <v>19</v>
      </c>
      <c r="J203" s="4" t="s">
        <v>189</v>
      </c>
      <c r="K203" s="4"/>
      <c r="L203" s="4" t="s">
        <v>19</v>
      </c>
      <c r="M203" s="4" t="s">
        <v>189</v>
      </c>
      <c r="N203" s="4"/>
      <c r="O203" s="4" t="s">
        <v>19</v>
      </c>
      <c r="P203" s="4" t="s">
        <v>189</v>
      </c>
      <c r="Q203" s="4"/>
    </row>
    <row r="204" spans="1:17" hidden="1" x14ac:dyDescent="0.35">
      <c r="A204" s="4" t="s">
        <v>88</v>
      </c>
      <c r="B204" s="5" t="s">
        <v>114</v>
      </c>
      <c r="C204" s="5" t="s">
        <v>44</v>
      </c>
      <c r="D204" s="5" t="s">
        <v>83</v>
      </c>
      <c r="E204" s="4">
        <v>30</v>
      </c>
      <c r="F204" s="4" t="s">
        <v>188</v>
      </c>
      <c r="G204" s="4" t="s">
        <v>188</v>
      </c>
      <c r="H204" s="4"/>
      <c r="I204" s="4" t="s">
        <v>188</v>
      </c>
      <c r="J204" s="4" t="s">
        <v>188</v>
      </c>
      <c r="K204" s="4"/>
      <c r="L204" s="4" t="s">
        <v>188</v>
      </c>
      <c r="M204" s="4" t="s">
        <v>188</v>
      </c>
      <c r="N204" s="4"/>
      <c r="O204" s="4" t="s">
        <v>188</v>
      </c>
      <c r="P204" s="4" t="s">
        <v>188</v>
      </c>
      <c r="Q204" s="4"/>
    </row>
    <row r="205" spans="1:17" hidden="1" x14ac:dyDescent="0.35">
      <c r="A205" s="4" t="s">
        <v>88</v>
      </c>
      <c r="B205" s="5" t="s">
        <v>114</v>
      </c>
      <c r="C205" s="5" t="s">
        <v>43</v>
      </c>
      <c r="D205" s="5" t="s">
        <v>83</v>
      </c>
      <c r="E205" s="4">
        <v>2</v>
      </c>
      <c r="F205" s="4" t="s">
        <v>188</v>
      </c>
      <c r="G205" s="4" t="s">
        <v>188</v>
      </c>
      <c r="H205" s="4"/>
      <c r="I205" s="4" t="s">
        <v>188</v>
      </c>
      <c r="J205" s="4" t="s">
        <v>188</v>
      </c>
      <c r="K205" s="4"/>
      <c r="L205" s="4" t="s">
        <v>188</v>
      </c>
      <c r="M205" s="4" t="s">
        <v>188</v>
      </c>
      <c r="N205" s="4"/>
      <c r="O205" s="4" t="s">
        <v>188</v>
      </c>
      <c r="P205" s="4" t="s">
        <v>188</v>
      </c>
      <c r="Q205" s="4"/>
    </row>
    <row r="206" spans="1:17" hidden="1" x14ac:dyDescent="0.35">
      <c r="A206" s="4" t="s">
        <v>88</v>
      </c>
      <c r="B206" s="5" t="s">
        <v>115</v>
      </c>
      <c r="C206" s="5" t="s">
        <v>116</v>
      </c>
      <c r="D206" s="5" t="s">
        <v>113</v>
      </c>
      <c r="E206" s="4">
        <v>12</v>
      </c>
      <c r="F206" s="4" t="s">
        <v>188</v>
      </c>
      <c r="G206" s="4" t="s">
        <v>188</v>
      </c>
      <c r="H206" s="4"/>
      <c r="I206" s="4" t="s">
        <v>188</v>
      </c>
      <c r="J206" s="4" t="s">
        <v>188</v>
      </c>
      <c r="K206" s="4"/>
      <c r="L206" s="4" t="s">
        <v>188</v>
      </c>
      <c r="M206" s="4" t="s">
        <v>188</v>
      </c>
      <c r="N206" s="4"/>
      <c r="O206" s="4" t="s">
        <v>188</v>
      </c>
      <c r="P206" s="4" t="s">
        <v>188</v>
      </c>
      <c r="Q206" s="4"/>
    </row>
    <row r="207" spans="1:17" hidden="1" x14ac:dyDescent="0.35">
      <c r="A207" s="4" t="s">
        <v>88</v>
      </c>
      <c r="B207" s="5" t="s">
        <v>225</v>
      </c>
      <c r="C207" s="5" t="s">
        <v>84</v>
      </c>
      <c r="D207" s="5" t="s">
        <v>23</v>
      </c>
      <c r="E207" s="4">
        <v>16</v>
      </c>
      <c r="F207" s="4" t="s">
        <v>188</v>
      </c>
      <c r="G207" s="4" t="s">
        <v>188</v>
      </c>
      <c r="H207" s="4"/>
      <c r="I207" s="4" t="s">
        <v>188</v>
      </c>
      <c r="J207" s="4" t="s">
        <v>188</v>
      </c>
      <c r="K207" s="4"/>
      <c r="L207" s="4" t="s">
        <v>188</v>
      </c>
      <c r="M207" s="4" t="s">
        <v>188</v>
      </c>
      <c r="N207" s="4"/>
      <c r="O207" s="4" t="s">
        <v>188</v>
      </c>
      <c r="P207" s="4" t="s">
        <v>188</v>
      </c>
      <c r="Q207" s="4"/>
    </row>
    <row r="208" spans="1:17" hidden="1" x14ac:dyDescent="0.35">
      <c r="A208" s="4" t="s">
        <v>88</v>
      </c>
      <c r="B208" s="5" t="s">
        <v>117</v>
      </c>
      <c r="C208" s="5" t="s">
        <v>84</v>
      </c>
      <c r="D208" s="5" t="s">
        <v>19</v>
      </c>
      <c r="E208" s="4">
        <v>10</v>
      </c>
      <c r="F208" s="4" t="s">
        <v>188</v>
      </c>
      <c r="G208" s="4" t="s">
        <v>188</v>
      </c>
      <c r="H208" s="4"/>
      <c r="I208" s="4" t="s">
        <v>188</v>
      </c>
      <c r="J208" s="4" t="s">
        <v>188</v>
      </c>
      <c r="K208" s="4"/>
      <c r="L208" s="4" t="s">
        <v>188</v>
      </c>
      <c r="M208" s="4" t="s">
        <v>188</v>
      </c>
      <c r="N208" s="4"/>
      <c r="O208" s="4" t="s">
        <v>188</v>
      </c>
      <c r="P208" s="4" t="s">
        <v>188</v>
      </c>
      <c r="Q208" s="4"/>
    </row>
    <row r="209" spans="1:17" hidden="1" x14ac:dyDescent="0.35">
      <c r="A209" s="4" t="s">
        <v>118</v>
      </c>
      <c r="B209" s="5" t="s">
        <v>119</v>
      </c>
      <c r="C209" s="5" t="s">
        <v>7</v>
      </c>
      <c r="D209" s="5" t="s">
        <v>19</v>
      </c>
      <c r="E209" s="4">
        <v>11</v>
      </c>
      <c r="F209" s="4" t="s">
        <v>19</v>
      </c>
      <c r="G209" s="4" t="s">
        <v>187</v>
      </c>
      <c r="H209" s="4"/>
      <c r="I209" s="4" t="s">
        <v>19</v>
      </c>
      <c r="J209" s="4" t="s">
        <v>187</v>
      </c>
      <c r="K209" s="4"/>
      <c r="L209" s="4" t="s">
        <v>19</v>
      </c>
      <c r="M209" s="4" t="s">
        <v>187</v>
      </c>
      <c r="N209" s="4"/>
      <c r="O209" s="4" t="s">
        <v>19</v>
      </c>
      <c r="P209" s="4" t="s">
        <v>187</v>
      </c>
      <c r="Q209" s="4"/>
    </row>
    <row r="210" spans="1:17" hidden="1" x14ac:dyDescent="0.35">
      <c r="A210" s="4" t="s">
        <v>118</v>
      </c>
      <c r="B210" s="5" t="s">
        <v>241</v>
      </c>
      <c r="C210" s="5" t="s">
        <v>7</v>
      </c>
      <c r="D210" s="5" t="s">
        <v>19</v>
      </c>
      <c r="E210" s="4">
        <v>11</v>
      </c>
      <c r="F210" s="4" t="s">
        <v>19</v>
      </c>
      <c r="G210" s="4" t="s">
        <v>187</v>
      </c>
      <c r="H210" s="4"/>
      <c r="I210" s="4" t="s">
        <v>19</v>
      </c>
      <c r="J210" s="4" t="s">
        <v>187</v>
      </c>
      <c r="K210" s="4"/>
      <c r="L210" s="4" t="s">
        <v>19</v>
      </c>
      <c r="M210" s="4" t="s">
        <v>187</v>
      </c>
      <c r="N210" s="4"/>
      <c r="O210" s="4" t="s">
        <v>19</v>
      </c>
      <c r="P210" s="4" t="s">
        <v>187</v>
      </c>
      <c r="Q210" s="4"/>
    </row>
    <row r="211" spans="1:17" hidden="1" x14ac:dyDescent="0.35">
      <c r="A211" s="4" t="s">
        <v>118</v>
      </c>
      <c r="B211" s="5" t="s">
        <v>119</v>
      </c>
      <c r="C211" s="5" t="s">
        <v>24</v>
      </c>
      <c r="D211" s="5" t="s">
        <v>19</v>
      </c>
      <c r="E211" s="4">
        <v>6</v>
      </c>
      <c r="F211" s="4" t="s">
        <v>19</v>
      </c>
      <c r="G211" s="4" t="s">
        <v>187</v>
      </c>
      <c r="H211" s="4"/>
      <c r="I211" s="4" t="s">
        <v>19</v>
      </c>
      <c r="J211" s="4" t="s">
        <v>187</v>
      </c>
      <c r="K211" s="4"/>
      <c r="L211" s="4" t="s">
        <v>19</v>
      </c>
      <c r="M211" s="4" t="s">
        <v>187</v>
      </c>
      <c r="N211" s="4"/>
      <c r="O211" s="4" t="s">
        <v>19</v>
      </c>
      <c r="P211" s="4" t="s">
        <v>187</v>
      </c>
      <c r="Q211" s="4"/>
    </row>
    <row r="212" spans="1:17" hidden="1" x14ac:dyDescent="0.35">
      <c r="A212" s="4" t="s">
        <v>118</v>
      </c>
      <c r="B212" s="5" t="s">
        <v>120</v>
      </c>
      <c r="C212" s="5" t="s">
        <v>10</v>
      </c>
      <c r="D212" s="5" t="s">
        <v>19</v>
      </c>
      <c r="E212" s="4">
        <v>30</v>
      </c>
      <c r="F212" s="4" t="s">
        <v>19</v>
      </c>
      <c r="G212" s="4" t="s">
        <v>189</v>
      </c>
      <c r="H212" s="4"/>
      <c r="I212" s="4" t="s">
        <v>19</v>
      </c>
      <c r="J212" s="4" t="s">
        <v>187</v>
      </c>
      <c r="K212" s="4"/>
      <c r="L212" s="4" t="s">
        <v>19</v>
      </c>
      <c r="M212" s="4" t="s">
        <v>187</v>
      </c>
      <c r="N212" s="4"/>
      <c r="O212" s="4" t="s">
        <v>19</v>
      </c>
      <c r="P212" s="4" t="s">
        <v>187</v>
      </c>
      <c r="Q212" s="4"/>
    </row>
    <row r="213" spans="1:17" hidden="1" x14ac:dyDescent="0.35">
      <c r="A213" s="4" t="s">
        <v>118</v>
      </c>
      <c r="B213" s="5" t="s">
        <v>121</v>
      </c>
      <c r="C213" s="5" t="s">
        <v>7</v>
      </c>
      <c r="D213" s="5" t="s">
        <v>19</v>
      </c>
      <c r="E213" s="4">
        <v>28</v>
      </c>
      <c r="F213" s="4" t="s">
        <v>19</v>
      </c>
      <c r="G213" s="4" t="s">
        <v>189</v>
      </c>
      <c r="H213" s="4"/>
      <c r="I213" s="4" t="s">
        <v>19</v>
      </c>
      <c r="J213" s="4" t="s">
        <v>189</v>
      </c>
      <c r="K213" s="4"/>
      <c r="L213" s="4" t="s">
        <v>19</v>
      </c>
      <c r="M213" s="4" t="s">
        <v>187</v>
      </c>
      <c r="N213" s="4"/>
      <c r="O213" s="4" t="s">
        <v>19</v>
      </c>
      <c r="P213" s="4" t="s">
        <v>187</v>
      </c>
      <c r="Q213" s="4"/>
    </row>
    <row r="214" spans="1:17" hidden="1" x14ac:dyDescent="0.35">
      <c r="A214" s="4" t="s">
        <v>118</v>
      </c>
      <c r="B214" s="5" t="s">
        <v>121</v>
      </c>
      <c r="C214" s="5" t="s">
        <v>10</v>
      </c>
      <c r="D214" s="5" t="s">
        <v>19</v>
      </c>
      <c r="E214" s="4">
        <v>2</v>
      </c>
      <c r="F214" s="4" t="s">
        <v>19</v>
      </c>
      <c r="G214" s="4" t="s">
        <v>189</v>
      </c>
      <c r="H214" s="4"/>
      <c r="I214" s="4" t="s">
        <v>19</v>
      </c>
      <c r="J214" s="4" t="s">
        <v>189</v>
      </c>
      <c r="K214" s="4"/>
      <c r="L214" s="4" t="s">
        <v>19</v>
      </c>
      <c r="M214" s="4" t="s">
        <v>187</v>
      </c>
      <c r="N214" s="4"/>
      <c r="O214" s="4" t="s">
        <v>19</v>
      </c>
      <c r="P214" s="4" t="s">
        <v>187</v>
      </c>
      <c r="Q214" s="4"/>
    </row>
    <row r="215" spans="1:17" hidden="1" x14ac:dyDescent="0.35">
      <c r="A215" s="4" t="s">
        <v>118</v>
      </c>
      <c r="B215" s="5" t="s">
        <v>122</v>
      </c>
      <c r="C215" s="5" t="s">
        <v>7</v>
      </c>
      <c r="D215" s="5" t="s">
        <v>19</v>
      </c>
      <c r="E215" s="4">
        <v>28</v>
      </c>
      <c r="F215" s="4" t="s">
        <v>19</v>
      </c>
      <c r="G215" s="4" t="s">
        <v>189</v>
      </c>
      <c r="H215" s="4"/>
      <c r="I215" s="4" t="s">
        <v>19</v>
      </c>
      <c r="J215" s="4" t="s">
        <v>189</v>
      </c>
      <c r="K215" s="4"/>
      <c r="L215" s="4" t="s">
        <v>19</v>
      </c>
      <c r="M215" s="4" t="s">
        <v>189</v>
      </c>
      <c r="N215" s="4"/>
      <c r="O215" s="4" t="s">
        <v>19</v>
      </c>
      <c r="P215" s="4" t="s">
        <v>189</v>
      </c>
      <c r="Q215" s="4"/>
    </row>
    <row r="216" spans="1:17" hidden="1" x14ac:dyDescent="0.35">
      <c r="A216" s="4" t="s">
        <v>118</v>
      </c>
      <c r="B216" s="5" t="s">
        <v>122</v>
      </c>
      <c r="C216" s="5" t="s">
        <v>10</v>
      </c>
      <c r="D216" s="5" t="s">
        <v>19</v>
      </c>
      <c r="E216" s="4">
        <v>2</v>
      </c>
      <c r="F216" s="4" t="s">
        <v>19</v>
      </c>
      <c r="G216" s="4" t="s">
        <v>189</v>
      </c>
      <c r="H216" s="4"/>
      <c r="I216" s="4" t="s">
        <v>19</v>
      </c>
      <c r="J216" s="4" t="s">
        <v>189</v>
      </c>
      <c r="K216" s="4"/>
      <c r="L216" s="4" t="s">
        <v>19</v>
      </c>
      <c r="M216" s="4" t="s">
        <v>189</v>
      </c>
      <c r="N216" s="4"/>
      <c r="O216" s="4" t="s">
        <v>19</v>
      </c>
      <c r="P216" s="4" t="s">
        <v>189</v>
      </c>
      <c r="Q216" s="4"/>
    </row>
    <row r="217" spans="1:17" hidden="1" x14ac:dyDescent="0.35">
      <c r="A217" s="4" t="s">
        <v>118</v>
      </c>
      <c r="B217" s="5" t="s">
        <v>123</v>
      </c>
      <c r="C217" s="5" t="s">
        <v>7</v>
      </c>
      <c r="D217" s="5" t="s">
        <v>19</v>
      </c>
      <c r="E217" s="4">
        <v>21</v>
      </c>
      <c r="F217" s="4" t="s">
        <v>23</v>
      </c>
      <c r="G217" s="4" t="s">
        <v>189</v>
      </c>
      <c r="H217" s="4"/>
      <c r="I217" s="4" t="s">
        <v>23</v>
      </c>
      <c r="J217" s="4" t="s">
        <v>189</v>
      </c>
      <c r="K217" s="4"/>
      <c r="L217" s="4" t="s">
        <v>23</v>
      </c>
      <c r="M217" s="4" t="s">
        <v>189</v>
      </c>
      <c r="N217" s="4"/>
      <c r="O217" s="4" t="s">
        <v>23</v>
      </c>
      <c r="P217" s="4" t="s">
        <v>189</v>
      </c>
      <c r="Q217" s="4"/>
    </row>
    <row r="218" spans="1:17" hidden="1" x14ac:dyDescent="0.35">
      <c r="A218" s="4" t="s">
        <v>118</v>
      </c>
      <c r="B218" s="5" t="s">
        <v>104</v>
      </c>
      <c r="C218" s="5" t="s">
        <v>7</v>
      </c>
      <c r="D218" s="5" t="s">
        <v>9</v>
      </c>
      <c r="E218" s="4">
        <v>15</v>
      </c>
      <c r="F218" s="4" t="s">
        <v>19</v>
      </c>
      <c r="G218" s="4" t="s">
        <v>189</v>
      </c>
      <c r="H218" s="4"/>
      <c r="I218" s="4" t="s">
        <v>19</v>
      </c>
      <c r="J218" s="4" t="s">
        <v>189</v>
      </c>
      <c r="K218" s="4"/>
      <c r="L218" s="4" t="s">
        <v>19</v>
      </c>
      <c r="M218" s="4" t="s">
        <v>189</v>
      </c>
      <c r="N218" s="4"/>
      <c r="O218" s="4" t="s">
        <v>19</v>
      </c>
      <c r="P218" s="4" t="s">
        <v>189</v>
      </c>
      <c r="Q218" s="4"/>
    </row>
    <row r="219" spans="1:17" hidden="1" x14ac:dyDescent="0.35">
      <c r="A219" s="4" t="s">
        <v>118</v>
      </c>
      <c r="B219" s="5" t="s">
        <v>104</v>
      </c>
      <c r="C219" s="5" t="s">
        <v>10</v>
      </c>
      <c r="D219" s="5" t="s">
        <v>9</v>
      </c>
      <c r="E219" s="4">
        <v>2</v>
      </c>
      <c r="F219" s="4" t="s">
        <v>19</v>
      </c>
      <c r="G219" s="4" t="s">
        <v>189</v>
      </c>
      <c r="H219" s="4"/>
      <c r="I219" s="4" t="s">
        <v>19</v>
      </c>
      <c r="J219" s="4" t="s">
        <v>189</v>
      </c>
      <c r="K219" s="4"/>
      <c r="L219" s="4" t="s">
        <v>19</v>
      </c>
      <c r="M219" s="4" t="s">
        <v>189</v>
      </c>
      <c r="N219" s="4"/>
      <c r="O219" s="4" t="s">
        <v>19</v>
      </c>
      <c r="P219" s="4" t="s">
        <v>189</v>
      </c>
      <c r="Q219" s="4"/>
    </row>
    <row r="220" spans="1:17" hidden="1" x14ac:dyDescent="0.35">
      <c r="A220" s="4" t="s">
        <v>118</v>
      </c>
      <c r="B220" s="5" t="s">
        <v>104</v>
      </c>
      <c r="C220" s="5" t="s">
        <v>24</v>
      </c>
      <c r="D220" s="5" t="s">
        <v>9</v>
      </c>
      <c r="E220" s="4">
        <v>6</v>
      </c>
      <c r="F220" s="4" t="s">
        <v>188</v>
      </c>
      <c r="G220" s="4" t="s">
        <v>188</v>
      </c>
      <c r="H220" s="4"/>
      <c r="I220" s="4" t="s">
        <v>188</v>
      </c>
      <c r="J220" s="4" t="s">
        <v>188</v>
      </c>
      <c r="K220" s="4"/>
      <c r="L220" s="4" t="s">
        <v>188</v>
      </c>
      <c r="M220" s="4" t="s">
        <v>188</v>
      </c>
      <c r="N220" s="4"/>
      <c r="O220" s="4" t="s">
        <v>188</v>
      </c>
      <c r="P220" s="4" t="s">
        <v>188</v>
      </c>
      <c r="Q220" s="4"/>
    </row>
    <row r="221" spans="1:17" hidden="1" x14ac:dyDescent="0.35">
      <c r="A221" s="4" t="s">
        <v>118</v>
      </c>
      <c r="B221" s="5" t="s">
        <v>124</v>
      </c>
      <c r="C221" s="5" t="s">
        <v>7</v>
      </c>
      <c r="D221" s="5" t="s">
        <v>28</v>
      </c>
      <c r="E221" s="4">
        <v>16</v>
      </c>
      <c r="F221" s="4" t="s">
        <v>23</v>
      </c>
      <c r="G221" s="4" t="s">
        <v>189</v>
      </c>
      <c r="H221" s="4"/>
      <c r="I221" s="4" t="s">
        <v>23</v>
      </c>
      <c r="J221" s="4" t="s">
        <v>189</v>
      </c>
      <c r="K221" s="4"/>
      <c r="L221" s="4" t="s">
        <v>23</v>
      </c>
      <c r="M221" s="4" t="s">
        <v>189</v>
      </c>
      <c r="N221" s="4"/>
      <c r="O221" s="4" t="s">
        <v>23</v>
      </c>
      <c r="P221" s="4" t="s">
        <v>189</v>
      </c>
      <c r="Q221" s="4"/>
    </row>
    <row r="222" spans="1:17" hidden="1" x14ac:dyDescent="0.35">
      <c r="A222" s="4" t="s">
        <v>118</v>
      </c>
      <c r="B222" s="5" t="s">
        <v>124</v>
      </c>
      <c r="C222" s="5" t="s">
        <v>10</v>
      </c>
      <c r="D222" s="5" t="s">
        <v>28</v>
      </c>
      <c r="E222" s="4">
        <v>2</v>
      </c>
      <c r="F222" s="4" t="s">
        <v>23</v>
      </c>
      <c r="G222" s="4" t="s">
        <v>189</v>
      </c>
      <c r="H222" s="4"/>
      <c r="I222" s="4" t="s">
        <v>23</v>
      </c>
      <c r="J222" s="4" t="s">
        <v>189</v>
      </c>
      <c r="K222" s="4"/>
      <c r="L222" s="4" t="s">
        <v>23</v>
      </c>
      <c r="M222" s="4" t="s">
        <v>189</v>
      </c>
      <c r="N222" s="4"/>
      <c r="O222" s="4" t="s">
        <v>23</v>
      </c>
      <c r="P222" s="4" t="s">
        <v>189</v>
      </c>
      <c r="Q222" s="4"/>
    </row>
    <row r="223" spans="1:17" hidden="1" x14ac:dyDescent="0.35">
      <c r="A223" s="4" t="s">
        <v>118</v>
      </c>
      <c r="B223" s="5" t="s">
        <v>234</v>
      </c>
      <c r="C223" s="5" t="s">
        <v>7</v>
      </c>
      <c r="D223" s="5" t="s">
        <v>23</v>
      </c>
      <c r="E223" s="4">
        <v>0</v>
      </c>
      <c r="F223" s="4" t="s">
        <v>23</v>
      </c>
      <c r="G223" s="4" t="s">
        <v>189</v>
      </c>
      <c r="H223" s="4"/>
      <c r="I223" s="4" t="s">
        <v>23</v>
      </c>
      <c r="J223" s="4" t="s">
        <v>189</v>
      </c>
      <c r="K223" s="4"/>
      <c r="L223" s="4" t="s">
        <v>23</v>
      </c>
      <c r="M223" s="4" t="s">
        <v>189</v>
      </c>
      <c r="N223" s="4"/>
      <c r="O223" s="4" t="s">
        <v>23</v>
      </c>
      <c r="P223" s="4" t="s">
        <v>189</v>
      </c>
      <c r="Q223" s="4"/>
    </row>
    <row r="224" spans="1:17" hidden="1" x14ac:dyDescent="0.35">
      <c r="A224" s="4" t="s">
        <v>118</v>
      </c>
      <c r="B224" s="5" t="s">
        <v>233</v>
      </c>
      <c r="C224" s="5" t="s">
        <v>7</v>
      </c>
      <c r="D224" s="5" t="s">
        <v>23</v>
      </c>
      <c r="E224" s="4">
        <v>16</v>
      </c>
      <c r="F224" s="4" t="s">
        <v>23</v>
      </c>
      <c r="G224" s="4" t="s">
        <v>187</v>
      </c>
      <c r="H224" s="4"/>
      <c r="I224" s="4" t="s">
        <v>23</v>
      </c>
      <c r="J224" s="4" t="s">
        <v>187</v>
      </c>
      <c r="K224" s="4"/>
      <c r="L224" s="4" t="s">
        <v>23</v>
      </c>
      <c r="M224" s="4" t="s">
        <v>187</v>
      </c>
      <c r="N224" s="4"/>
      <c r="O224" s="4" t="s">
        <v>23</v>
      </c>
      <c r="P224" s="4" t="s">
        <v>187</v>
      </c>
      <c r="Q224" s="4"/>
    </row>
    <row r="225" spans="1:17" hidden="1" x14ac:dyDescent="0.35">
      <c r="A225" s="4" t="s">
        <v>118</v>
      </c>
      <c r="B225" s="5" t="s">
        <v>125</v>
      </c>
      <c r="C225" s="5" t="s">
        <v>10</v>
      </c>
      <c r="D225" s="5" t="s">
        <v>19</v>
      </c>
      <c r="E225" s="4">
        <v>2</v>
      </c>
      <c r="F225" s="4" t="s">
        <v>19</v>
      </c>
      <c r="G225" s="4" t="s">
        <v>189</v>
      </c>
      <c r="H225" s="4"/>
      <c r="I225" s="4" t="s">
        <v>19</v>
      </c>
      <c r="J225" s="4" t="s">
        <v>189</v>
      </c>
      <c r="K225" s="4"/>
      <c r="L225" s="4" t="s">
        <v>19</v>
      </c>
      <c r="M225" s="4" t="s">
        <v>189</v>
      </c>
      <c r="N225" s="4"/>
      <c r="O225" s="4" t="s">
        <v>19</v>
      </c>
      <c r="P225" s="4" t="s">
        <v>189</v>
      </c>
      <c r="Q225" s="4"/>
    </row>
    <row r="226" spans="1:17" hidden="1" x14ac:dyDescent="0.35">
      <c r="A226" s="4" t="s">
        <v>118</v>
      </c>
      <c r="B226" s="5" t="s">
        <v>60</v>
      </c>
      <c r="C226" s="5" t="s">
        <v>7</v>
      </c>
      <c r="D226" s="5" t="s">
        <v>60</v>
      </c>
      <c r="E226" s="4">
        <v>24</v>
      </c>
      <c r="F226" s="4" t="s">
        <v>23</v>
      </c>
      <c r="G226" s="4" t="s">
        <v>189</v>
      </c>
      <c r="H226" s="4"/>
      <c r="I226" s="4" t="s">
        <v>23</v>
      </c>
      <c r="J226" s="4" t="s">
        <v>189</v>
      </c>
      <c r="K226" s="4"/>
      <c r="L226" s="4" t="s">
        <v>23</v>
      </c>
      <c r="M226" s="4" t="s">
        <v>189</v>
      </c>
      <c r="N226" s="4"/>
      <c r="O226" s="4" t="s">
        <v>23</v>
      </c>
      <c r="P226" s="4" t="s">
        <v>189</v>
      </c>
      <c r="Q226" s="4"/>
    </row>
    <row r="227" spans="1:17" hidden="1" x14ac:dyDescent="0.35">
      <c r="A227" s="4" t="s">
        <v>118</v>
      </c>
      <c r="B227" s="5" t="s">
        <v>126</v>
      </c>
      <c r="C227" s="5" t="s">
        <v>10</v>
      </c>
      <c r="D227" s="5" t="s">
        <v>60</v>
      </c>
      <c r="E227" s="4">
        <v>1</v>
      </c>
      <c r="F227" s="4" t="s">
        <v>23</v>
      </c>
      <c r="G227" s="4" t="s">
        <v>189</v>
      </c>
      <c r="H227" s="4"/>
      <c r="I227" s="4" t="s">
        <v>23</v>
      </c>
      <c r="J227" s="4" t="s">
        <v>189</v>
      </c>
      <c r="K227" s="4"/>
      <c r="L227" s="4" t="s">
        <v>23</v>
      </c>
      <c r="M227" s="4" t="s">
        <v>189</v>
      </c>
      <c r="N227" s="4"/>
      <c r="O227" s="4" t="s">
        <v>23</v>
      </c>
      <c r="P227" s="4" t="s">
        <v>189</v>
      </c>
      <c r="Q227" s="4"/>
    </row>
    <row r="228" spans="1:17" hidden="1" x14ac:dyDescent="0.35">
      <c r="A228" s="4" t="s">
        <v>118</v>
      </c>
      <c r="B228" s="5" t="s">
        <v>127</v>
      </c>
      <c r="C228" s="5" t="s">
        <v>7</v>
      </c>
      <c r="D228" s="5" t="s">
        <v>19</v>
      </c>
      <c r="E228" s="4">
        <v>32</v>
      </c>
      <c r="F228" s="4" t="s">
        <v>19</v>
      </c>
      <c r="G228" s="4" t="s">
        <v>189</v>
      </c>
      <c r="H228" s="4"/>
      <c r="I228" s="4" t="s">
        <v>19</v>
      </c>
      <c r="J228" s="4" t="s">
        <v>189</v>
      </c>
      <c r="K228" s="4"/>
      <c r="L228" s="4" t="s">
        <v>19</v>
      </c>
      <c r="M228" s="4" t="s">
        <v>189</v>
      </c>
      <c r="N228" s="4"/>
      <c r="O228" s="4" t="s">
        <v>19</v>
      </c>
      <c r="P228" s="4" t="s">
        <v>189</v>
      </c>
      <c r="Q228" s="4"/>
    </row>
    <row r="229" spans="1:17" hidden="1" x14ac:dyDescent="0.35">
      <c r="A229" s="4" t="s">
        <v>118</v>
      </c>
      <c r="B229" s="5" t="s">
        <v>128</v>
      </c>
      <c r="C229" s="5" t="s">
        <v>10</v>
      </c>
      <c r="D229" s="5" t="s">
        <v>19</v>
      </c>
      <c r="E229" s="4">
        <v>2</v>
      </c>
      <c r="F229" s="4" t="s">
        <v>19</v>
      </c>
      <c r="G229" s="4" t="s">
        <v>189</v>
      </c>
      <c r="H229" s="4"/>
      <c r="I229" s="4" t="s">
        <v>19</v>
      </c>
      <c r="J229" s="4" t="s">
        <v>189</v>
      </c>
      <c r="K229" s="4"/>
      <c r="L229" s="4" t="s">
        <v>19</v>
      </c>
      <c r="M229" s="4" t="s">
        <v>189</v>
      </c>
      <c r="N229" s="4"/>
      <c r="O229" s="4" t="s">
        <v>19</v>
      </c>
      <c r="P229" s="4" t="s">
        <v>189</v>
      </c>
      <c r="Q229" s="4"/>
    </row>
    <row r="230" spans="1:17" hidden="1" x14ac:dyDescent="0.35">
      <c r="A230" s="4" t="s">
        <v>118</v>
      </c>
      <c r="B230" s="5" t="s">
        <v>129</v>
      </c>
      <c r="C230" s="5" t="s">
        <v>17</v>
      </c>
      <c r="D230" s="5" t="s">
        <v>13</v>
      </c>
      <c r="E230" s="4">
        <v>14</v>
      </c>
      <c r="F230" s="4" t="s">
        <v>188</v>
      </c>
      <c r="G230" s="4" t="s">
        <v>188</v>
      </c>
      <c r="H230" s="4"/>
      <c r="I230" s="4" t="s">
        <v>188</v>
      </c>
      <c r="J230" s="4" t="s">
        <v>188</v>
      </c>
      <c r="K230" s="4"/>
      <c r="L230" s="4" t="s">
        <v>23</v>
      </c>
      <c r="M230" s="4" t="s">
        <v>187</v>
      </c>
      <c r="N230" s="4"/>
      <c r="O230" s="4" t="s">
        <v>23</v>
      </c>
      <c r="P230" s="4" t="s">
        <v>187</v>
      </c>
      <c r="Q230" s="4"/>
    </row>
    <row r="231" spans="1:17" hidden="1" x14ac:dyDescent="0.35">
      <c r="A231" s="4" t="s">
        <v>118</v>
      </c>
      <c r="B231" s="5" t="s">
        <v>130</v>
      </c>
      <c r="C231" s="5" t="s">
        <v>17</v>
      </c>
      <c r="D231" s="5" t="s">
        <v>13</v>
      </c>
      <c r="E231" s="4">
        <v>10</v>
      </c>
      <c r="F231" s="4" t="s">
        <v>188</v>
      </c>
      <c r="G231" s="4" t="s">
        <v>188</v>
      </c>
      <c r="H231" s="4"/>
      <c r="I231" s="4" t="s">
        <v>188</v>
      </c>
      <c r="J231" s="4" t="s">
        <v>188</v>
      </c>
      <c r="K231" s="4"/>
      <c r="L231" s="4" t="s">
        <v>23</v>
      </c>
      <c r="M231" s="4" t="s">
        <v>187</v>
      </c>
      <c r="N231" s="4"/>
      <c r="O231" s="4" t="s">
        <v>23</v>
      </c>
      <c r="P231" s="4" t="s">
        <v>187</v>
      </c>
      <c r="Q231" s="4"/>
    </row>
    <row r="232" spans="1:17" hidden="1" x14ac:dyDescent="0.35">
      <c r="A232" s="4" t="s">
        <v>118</v>
      </c>
      <c r="B232" s="5" t="s">
        <v>228</v>
      </c>
      <c r="C232" s="5" t="s">
        <v>7</v>
      </c>
      <c r="D232" s="5" t="s">
        <v>83</v>
      </c>
      <c r="E232" s="4">
        <v>17</v>
      </c>
      <c r="F232" s="4" t="s">
        <v>19</v>
      </c>
      <c r="G232" s="4" t="s">
        <v>187</v>
      </c>
      <c r="H232" s="4"/>
      <c r="I232" s="4" t="s">
        <v>19</v>
      </c>
      <c r="J232" s="4" t="s">
        <v>187</v>
      </c>
      <c r="K232" s="4"/>
      <c r="L232" s="4" t="s">
        <v>19</v>
      </c>
      <c r="M232" s="4" t="s">
        <v>187</v>
      </c>
      <c r="N232" s="4"/>
      <c r="O232" s="4" t="s">
        <v>19</v>
      </c>
      <c r="P232" s="4" t="s">
        <v>187</v>
      </c>
      <c r="Q232" s="4"/>
    </row>
    <row r="233" spans="1:17" hidden="1" x14ac:dyDescent="0.35">
      <c r="A233" s="4" t="s">
        <v>118</v>
      </c>
      <c r="B233" s="5" t="s">
        <v>228</v>
      </c>
      <c r="C233" s="5" t="s">
        <v>24</v>
      </c>
      <c r="D233" s="5" t="s">
        <v>83</v>
      </c>
      <c r="E233" s="4">
        <v>4</v>
      </c>
      <c r="F233" s="4" t="s">
        <v>19</v>
      </c>
      <c r="G233" s="4" t="s">
        <v>187</v>
      </c>
      <c r="H233" s="4"/>
      <c r="I233" s="4" t="s">
        <v>19</v>
      </c>
      <c r="J233" s="4" t="s">
        <v>187</v>
      </c>
      <c r="K233" s="4"/>
      <c r="L233" s="4" t="s">
        <v>19</v>
      </c>
      <c r="M233" s="4" t="s">
        <v>187</v>
      </c>
      <c r="N233" s="4"/>
      <c r="O233" s="4" t="s">
        <v>19</v>
      </c>
      <c r="P233" s="4" t="s">
        <v>187</v>
      </c>
      <c r="Q233" s="4"/>
    </row>
    <row r="234" spans="1:17" hidden="1" x14ac:dyDescent="0.35">
      <c r="A234" s="4" t="s">
        <v>118</v>
      </c>
      <c r="B234" s="5" t="s">
        <v>229</v>
      </c>
      <c r="C234" s="5" t="s">
        <v>7</v>
      </c>
      <c r="D234" s="5" t="s">
        <v>83</v>
      </c>
      <c r="E234" s="4">
        <v>10</v>
      </c>
      <c r="F234" s="4" t="s">
        <v>19</v>
      </c>
      <c r="G234" s="4" t="s">
        <v>187</v>
      </c>
      <c r="H234" s="4"/>
      <c r="I234" s="4" t="s">
        <v>19</v>
      </c>
      <c r="J234" s="4" t="s">
        <v>187</v>
      </c>
      <c r="K234" s="4"/>
      <c r="L234" s="4" t="s">
        <v>19</v>
      </c>
      <c r="M234" s="4" t="s">
        <v>187</v>
      </c>
      <c r="N234" s="4"/>
      <c r="O234" s="4" t="s">
        <v>19</v>
      </c>
      <c r="P234" s="4" t="s">
        <v>187</v>
      </c>
      <c r="Q234" s="4"/>
    </row>
    <row r="235" spans="1:17" hidden="1" x14ac:dyDescent="0.35">
      <c r="A235" s="4" t="s">
        <v>118</v>
      </c>
      <c r="B235" s="5" t="s">
        <v>131</v>
      </c>
      <c r="C235" s="5" t="s">
        <v>132</v>
      </c>
      <c r="D235" s="5" t="s">
        <v>13</v>
      </c>
      <c r="E235" s="4">
        <v>6</v>
      </c>
      <c r="F235" s="4" t="s">
        <v>188</v>
      </c>
      <c r="G235" s="4" t="s">
        <v>188</v>
      </c>
      <c r="H235" s="4"/>
      <c r="I235" s="4" t="s">
        <v>188</v>
      </c>
      <c r="J235" s="4" t="s">
        <v>188</v>
      </c>
      <c r="K235" s="4"/>
      <c r="L235" s="4" t="s">
        <v>188</v>
      </c>
      <c r="M235" s="4" t="s">
        <v>188</v>
      </c>
      <c r="N235" s="4"/>
      <c r="O235" s="4" t="s">
        <v>188</v>
      </c>
      <c r="P235" s="4" t="s">
        <v>188</v>
      </c>
      <c r="Q235" s="4"/>
    </row>
    <row r="236" spans="1:17" hidden="1" x14ac:dyDescent="0.35">
      <c r="A236" s="4" t="s">
        <v>118</v>
      </c>
      <c r="B236" s="5" t="s">
        <v>133</v>
      </c>
      <c r="C236" s="5" t="s">
        <v>132</v>
      </c>
      <c r="D236" s="5" t="s">
        <v>13</v>
      </c>
      <c r="E236" s="4">
        <v>8</v>
      </c>
      <c r="F236" s="4" t="s">
        <v>188</v>
      </c>
      <c r="G236" s="4" t="s">
        <v>188</v>
      </c>
      <c r="H236" s="4"/>
      <c r="I236" s="4" t="s">
        <v>188</v>
      </c>
      <c r="J236" s="4" t="s">
        <v>188</v>
      </c>
      <c r="K236" s="4"/>
      <c r="L236" s="4" t="s">
        <v>188</v>
      </c>
      <c r="M236" s="4" t="s">
        <v>188</v>
      </c>
      <c r="N236" s="4"/>
      <c r="O236" s="4" t="s">
        <v>188</v>
      </c>
      <c r="P236" s="4" t="s">
        <v>188</v>
      </c>
      <c r="Q236" s="4"/>
    </row>
    <row r="237" spans="1:17" hidden="1" x14ac:dyDescent="0.35">
      <c r="A237" s="4" t="s">
        <v>118</v>
      </c>
      <c r="B237" s="5" t="s">
        <v>134</v>
      </c>
      <c r="C237" s="5" t="s">
        <v>132</v>
      </c>
      <c r="D237" s="5" t="s">
        <v>13</v>
      </c>
      <c r="E237" s="4">
        <v>14</v>
      </c>
      <c r="F237" s="4" t="s">
        <v>188</v>
      </c>
      <c r="G237" s="4" t="s">
        <v>188</v>
      </c>
      <c r="H237" s="4"/>
      <c r="I237" s="4" t="s">
        <v>188</v>
      </c>
      <c r="J237" s="4" t="s">
        <v>188</v>
      </c>
      <c r="K237" s="4"/>
      <c r="L237" s="4" t="s">
        <v>188</v>
      </c>
      <c r="M237" s="4" t="s">
        <v>188</v>
      </c>
      <c r="N237" s="4"/>
      <c r="O237" s="4" t="s">
        <v>188</v>
      </c>
      <c r="P237" s="4" t="s">
        <v>188</v>
      </c>
      <c r="Q237" s="4"/>
    </row>
    <row r="238" spans="1:17" hidden="1" x14ac:dyDescent="0.35">
      <c r="A238" s="4" t="s">
        <v>118</v>
      </c>
      <c r="B238" s="5" t="s">
        <v>117</v>
      </c>
      <c r="C238" s="5" t="s">
        <v>84</v>
      </c>
      <c r="D238" s="5" t="s">
        <v>83</v>
      </c>
      <c r="E238" s="4">
        <v>10</v>
      </c>
      <c r="F238" s="4" t="s">
        <v>188</v>
      </c>
      <c r="G238" s="4" t="s">
        <v>188</v>
      </c>
      <c r="H238" s="4"/>
      <c r="I238" s="4" t="s">
        <v>188</v>
      </c>
      <c r="J238" s="4" t="s">
        <v>188</v>
      </c>
      <c r="K238" s="4"/>
      <c r="L238" s="4" t="s">
        <v>188</v>
      </c>
      <c r="M238" s="4" t="s">
        <v>188</v>
      </c>
      <c r="N238" s="4"/>
      <c r="O238" s="4" t="s">
        <v>19</v>
      </c>
      <c r="P238" s="4" t="s">
        <v>187</v>
      </c>
      <c r="Q238" s="4"/>
    </row>
    <row r="239" spans="1:17" hidden="1" x14ac:dyDescent="0.35">
      <c r="A239" s="4" t="s">
        <v>118</v>
      </c>
      <c r="B239" s="5" t="s">
        <v>135</v>
      </c>
      <c r="C239" s="5" t="s">
        <v>84</v>
      </c>
      <c r="D239" s="5" t="s">
        <v>83</v>
      </c>
      <c r="E239" s="4">
        <v>10</v>
      </c>
      <c r="F239" s="4" t="s">
        <v>188</v>
      </c>
      <c r="G239" s="4" t="s">
        <v>188</v>
      </c>
      <c r="H239" s="4"/>
      <c r="I239" s="4" t="s">
        <v>188</v>
      </c>
      <c r="J239" s="4" t="s">
        <v>188</v>
      </c>
      <c r="K239" s="4"/>
      <c r="L239" s="4" t="s">
        <v>188</v>
      </c>
      <c r="M239" s="4" t="s">
        <v>188</v>
      </c>
      <c r="N239" s="4"/>
      <c r="O239" s="4" t="s">
        <v>19</v>
      </c>
      <c r="P239" s="4" t="s">
        <v>187</v>
      </c>
      <c r="Q239" s="4"/>
    </row>
    <row r="240" spans="1:17" hidden="1" x14ac:dyDescent="0.35">
      <c r="A240" s="4" t="s">
        <v>136</v>
      </c>
      <c r="B240" s="5" t="s">
        <v>137</v>
      </c>
      <c r="C240" s="5" t="s">
        <v>7</v>
      </c>
      <c r="D240" s="5" t="s">
        <v>19</v>
      </c>
      <c r="E240" s="4">
        <v>23</v>
      </c>
      <c r="F240" s="4" t="s">
        <v>19</v>
      </c>
      <c r="G240" s="4" t="s">
        <v>189</v>
      </c>
      <c r="H240" s="4"/>
      <c r="I240" s="4" t="s">
        <v>19</v>
      </c>
      <c r="J240" s="4" t="s">
        <v>189</v>
      </c>
      <c r="K240" s="4"/>
      <c r="L240" s="4" t="s">
        <v>19</v>
      </c>
      <c r="M240" s="4" t="s">
        <v>189</v>
      </c>
      <c r="N240" s="4"/>
      <c r="O240" s="4" t="s">
        <v>19</v>
      </c>
      <c r="P240" s="4" t="s">
        <v>189</v>
      </c>
      <c r="Q240" s="4"/>
    </row>
    <row r="241" spans="1:17" hidden="1" x14ac:dyDescent="0.35">
      <c r="A241" s="4" t="s">
        <v>136</v>
      </c>
      <c r="B241" s="5" t="s">
        <v>138</v>
      </c>
      <c r="C241" s="5" t="s">
        <v>10</v>
      </c>
      <c r="D241" s="5" t="s">
        <v>19</v>
      </c>
      <c r="E241" s="4">
        <v>2</v>
      </c>
      <c r="F241" s="4" t="s">
        <v>19</v>
      </c>
      <c r="G241" s="4" t="s">
        <v>189</v>
      </c>
      <c r="H241" s="4"/>
      <c r="I241" s="4" t="s">
        <v>19</v>
      </c>
      <c r="J241" s="4" t="s">
        <v>189</v>
      </c>
      <c r="K241" s="4"/>
      <c r="L241" s="4" t="s">
        <v>19</v>
      </c>
      <c r="M241" s="4" t="s">
        <v>189</v>
      </c>
      <c r="N241" s="4"/>
      <c r="O241" s="4" t="s">
        <v>19</v>
      </c>
      <c r="P241" s="4" t="s">
        <v>189</v>
      </c>
      <c r="Q241" s="4"/>
    </row>
    <row r="242" spans="1:17" hidden="1" x14ac:dyDescent="0.35">
      <c r="A242" s="4" t="s">
        <v>136</v>
      </c>
      <c r="B242" s="5" t="s">
        <v>139</v>
      </c>
      <c r="C242" s="5" t="s">
        <v>7</v>
      </c>
      <c r="D242" s="5" t="s">
        <v>19</v>
      </c>
      <c r="E242" s="4">
        <v>23</v>
      </c>
      <c r="F242" s="4" t="s">
        <v>19</v>
      </c>
      <c r="G242" s="4" t="s">
        <v>189</v>
      </c>
      <c r="H242" s="4"/>
      <c r="I242" s="4" t="s">
        <v>19</v>
      </c>
      <c r="J242" s="4" t="s">
        <v>189</v>
      </c>
      <c r="K242" s="4"/>
      <c r="L242" s="4" t="s">
        <v>19</v>
      </c>
      <c r="M242" s="4" t="s">
        <v>189</v>
      </c>
      <c r="N242" s="4"/>
      <c r="O242" s="4" t="s">
        <v>19</v>
      </c>
      <c r="P242" s="4" t="s">
        <v>189</v>
      </c>
      <c r="Q242" s="4"/>
    </row>
    <row r="243" spans="1:17" hidden="1" x14ac:dyDescent="0.35">
      <c r="A243" s="4" t="s">
        <v>136</v>
      </c>
      <c r="B243" s="5" t="s">
        <v>140</v>
      </c>
      <c r="C243" s="5" t="s">
        <v>10</v>
      </c>
      <c r="D243" s="5" t="s">
        <v>19</v>
      </c>
      <c r="E243" s="4">
        <v>2</v>
      </c>
      <c r="F243" s="4" t="s">
        <v>19</v>
      </c>
      <c r="G243" s="4" t="s">
        <v>187</v>
      </c>
      <c r="H243" s="4">
        <v>-1</v>
      </c>
      <c r="I243" s="4" t="s">
        <v>19</v>
      </c>
      <c r="J243" s="4" t="s">
        <v>187</v>
      </c>
      <c r="K243" s="4">
        <v>-1</v>
      </c>
      <c r="L243" s="4" t="s">
        <v>19</v>
      </c>
      <c r="M243" s="4" t="s">
        <v>187</v>
      </c>
      <c r="N243" s="4">
        <v>-1</v>
      </c>
      <c r="O243" s="4" t="s">
        <v>19</v>
      </c>
      <c r="P243" s="4" t="s">
        <v>187</v>
      </c>
      <c r="Q243" s="4">
        <v>-1</v>
      </c>
    </row>
    <row r="244" spans="1:17" hidden="1" x14ac:dyDescent="0.35">
      <c r="A244" s="4" t="s">
        <v>136</v>
      </c>
      <c r="B244" s="5" t="s">
        <v>141</v>
      </c>
      <c r="C244" s="5" t="s">
        <v>7</v>
      </c>
      <c r="D244" s="5" t="s">
        <v>19</v>
      </c>
      <c r="E244" s="4">
        <v>23</v>
      </c>
      <c r="F244" s="4" t="s">
        <v>19</v>
      </c>
      <c r="G244" s="4" t="s">
        <v>189</v>
      </c>
      <c r="H244" s="4"/>
      <c r="I244" s="4" t="s">
        <v>19</v>
      </c>
      <c r="J244" s="4" t="s">
        <v>187</v>
      </c>
      <c r="K244" s="4">
        <v>-1</v>
      </c>
      <c r="L244" s="4" t="s">
        <v>19</v>
      </c>
      <c r="M244" s="4" t="s">
        <v>187</v>
      </c>
      <c r="N244" s="4">
        <v>-1</v>
      </c>
      <c r="O244" s="4" t="s">
        <v>19</v>
      </c>
      <c r="P244" s="4" t="s">
        <v>187</v>
      </c>
      <c r="Q244" s="4">
        <v>-1</v>
      </c>
    </row>
    <row r="245" spans="1:17" hidden="1" x14ac:dyDescent="0.35">
      <c r="A245" s="4" t="s">
        <v>136</v>
      </c>
      <c r="B245" s="5" t="s">
        <v>142</v>
      </c>
      <c r="C245" s="5" t="s">
        <v>10</v>
      </c>
      <c r="D245" s="5" t="s">
        <v>19</v>
      </c>
      <c r="E245" s="4">
        <v>2</v>
      </c>
      <c r="F245" s="4" t="s">
        <v>19</v>
      </c>
      <c r="G245" s="4" t="s">
        <v>189</v>
      </c>
      <c r="H245" s="4"/>
      <c r="I245" s="4" t="s">
        <v>19</v>
      </c>
      <c r="J245" s="4" t="s">
        <v>187</v>
      </c>
      <c r="K245" s="4"/>
      <c r="L245" s="4" t="s">
        <v>19</v>
      </c>
      <c r="M245" s="4" t="s">
        <v>187</v>
      </c>
      <c r="N245" s="4"/>
      <c r="O245" s="4" t="s">
        <v>19</v>
      </c>
      <c r="P245" s="4" t="s">
        <v>187</v>
      </c>
      <c r="Q245" s="4"/>
    </row>
    <row r="246" spans="1:17" hidden="1" x14ac:dyDescent="0.35">
      <c r="A246" s="4" t="s">
        <v>136</v>
      </c>
      <c r="B246" s="5" t="s">
        <v>143</v>
      </c>
      <c r="C246" s="5" t="s">
        <v>24</v>
      </c>
      <c r="D246" s="5" t="s">
        <v>19</v>
      </c>
      <c r="E246" s="4">
        <v>8</v>
      </c>
      <c r="F246" s="4" t="s">
        <v>188</v>
      </c>
      <c r="G246" s="4" t="s">
        <v>188</v>
      </c>
      <c r="H246" s="4"/>
      <c r="I246" s="4" t="s">
        <v>188</v>
      </c>
      <c r="J246" s="4" t="s">
        <v>188</v>
      </c>
      <c r="K246" s="4"/>
      <c r="L246" s="4" t="s">
        <v>188</v>
      </c>
      <c r="M246" s="4" t="s">
        <v>188</v>
      </c>
      <c r="N246" s="4"/>
      <c r="O246" s="4" t="s">
        <v>188</v>
      </c>
      <c r="P246" s="4" t="s">
        <v>188</v>
      </c>
      <c r="Q246" s="4"/>
    </row>
    <row r="247" spans="1:17" hidden="1" x14ac:dyDescent="0.35">
      <c r="A247" s="4" t="s">
        <v>136</v>
      </c>
      <c r="B247" s="5" t="s">
        <v>144</v>
      </c>
      <c r="C247" s="5" t="s">
        <v>7</v>
      </c>
      <c r="D247" s="5" t="s">
        <v>19</v>
      </c>
      <c r="E247" s="4">
        <v>23</v>
      </c>
      <c r="F247" s="4" t="s">
        <v>19</v>
      </c>
      <c r="G247" s="4" t="s">
        <v>189</v>
      </c>
      <c r="H247" s="4"/>
      <c r="I247" s="4" t="s">
        <v>19</v>
      </c>
      <c r="J247" s="4" t="s">
        <v>189</v>
      </c>
      <c r="K247" s="4"/>
      <c r="L247" s="4" t="s">
        <v>19</v>
      </c>
      <c r="M247" s="4" t="s">
        <v>189</v>
      </c>
      <c r="N247" s="4"/>
      <c r="O247" s="4" t="s">
        <v>19</v>
      </c>
      <c r="P247" s="4" t="s">
        <v>189</v>
      </c>
      <c r="Q247" s="4"/>
    </row>
    <row r="248" spans="1:17" hidden="1" x14ac:dyDescent="0.35">
      <c r="A248" s="4" t="s">
        <v>136</v>
      </c>
      <c r="B248" s="5" t="s">
        <v>145</v>
      </c>
      <c r="C248" s="5" t="s">
        <v>10</v>
      </c>
      <c r="D248" s="5" t="s">
        <v>19</v>
      </c>
      <c r="E248" s="4">
        <v>2</v>
      </c>
      <c r="F248" s="4" t="s">
        <v>19</v>
      </c>
      <c r="G248" s="4" t="s">
        <v>189</v>
      </c>
      <c r="H248" s="4"/>
      <c r="I248" s="4" t="s">
        <v>19</v>
      </c>
      <c r="J248" s="4" t="s">
        <v>189</v>
      </c>
      <c r="K248" s="4"/>
      <c r="L248" s="4" t="s">
        <v>19</v>
      </c>
      <c r="M248" s="4" t="s">
        <v>189</v>
      </c>
      <c r="N248" s="4"/>
      <c r="O248" s="4" t="s">
        <v>19</v>
      </c>
      <c r="P248" s="4" t="s">
        <v>189</v>
      </c>
      <c r="Q248" s="4"/>
    </row>
    <row r="249" spans="1:17" hidden="1" x14ac:dyDescent="0.35">
      <c r="A249" s="4" t="s">
        <v>136</v>
      </c>
      <c r="B249" s="5" t="s">
        <v>144</v>
      </c>
      <c r="C249" s="5" t="s">
        <v>24</v>
      </c>
      <c r="D249" s="5" t="s">
        <v>19</v>
      </c>
      <c r="E249" s="4">
        <v>8</v>
      </c>
      <c r="F249" s="4" t="s">
        <v>188</v>
      </c>
      <c r="G249" s="4" t="s">
        <v>188</v>
      </c>
      <c r="H249" s="4"/>
      <c r="I249" s="4" t="s">
        <v>188</v>
      </c>
      <c r="J249" s="4" t="s">
        <v>188</v>
      </c>
      <c r="K249" s="4"/>
      <c r="L249" s="4" t="s">
        <v>188</v>
      </c>
      <c r="M249" s="4" t="s">
        <v>188</v>
      </c>
      <c r="N249" s="4"/>
      <c r="O249" s="4" t="s">
        <v>188</v>
      </c>
      <c r="P249" s="4" t="s">
        <v>188</v>
      </c>
      <c r="Q249" s="4"/>
    </row>
    <row r="250" spans="1:17" hidden="1" x14ac:dyDescent="0.35">
      <c r="A250" s="4" t="s">
        <v>136</v>
      </c>
      <c r="B250" s="5" t="s">
        <v>146</v>
      </c>
      <c r="C250" s="5" t="s">
        <v>7</v>
      </c>
      <c r="D250" s="5" t="s">
        <v>19</v>
      </c>
      <c r="E250" s="4">
        <v>23</v>
      </c>
      <c r="F250" s="4" t="s">
        <v>19</v>
      </c>
      <c r="G250" s="4" t="s">
        <v>189</v>
      </c>
      <c r="H250" s="4"/>
      <c r="I250" s="4" t="s">
        <v>19</v>
      </c>
      <c r="J250" s="4" t="s">
        <v>189</v>
      </c>
      <c r="K250" s="4"/>
      <c r="L250" s="4" t="s">
        <v>19</v>
      </c>
      <c r="M250" s="4" t="s">
        <v>189</v>
      </c>
      <c r="N250" s="4"/>
      <c r="O250" s="4" t="s">
        <v>19</v>
      </c>
      <c r="P250" s="4" t="s">
        <v>189</v>
      </c>
      <c r="Q250" s="4"/>
    </row>
    <row r="251" spans="1:17" hidden="1" x14ac:dyDescent="0.35">
      <c r="A251" s="4" t="s">
        <v>136</v>
      </c>
      <c r="B251" s="5" t="s">
        <v>147</v>
      </c>
      <c r="C251" s="5" t="s">
        <v>10</v>
      </c>
      <c r="D251" s="5" t="s">
        <v>19</v>
      </c>
      <c r="E251" s="4">
        <v>2</v>
      </c>
      <c r="F251" s="4" t="s">
        <v>19</v>
      </c>
      <c r="G251" s="4" t="s">
        <v>187</v>
      </c>
      <c r="H251" s="4"/>
      <c r="I251" s="4" t="s">
        <v>19</v>
      </c>
      <c r="J251" s="4" t="s">
        <v>187</v>
      </c>
      <c r="K251" s="4"/>
      <c r="L251" s="4" t="s">
        <v>19</v>
      </c>
      <c r="M251" s="4" t="s">
        <v>187</v>
      </c>
      <c r="N251" s="4"/>
      <c r="O251" s="4" t="s">
        <v>19</v>
      </c>
      <c r="P251" s="4" t="s">
        <v>187</v>
      </c>
      <c r="Q251" s="4"/>
    </row>
    <row r="252" spans="1:17" hidden="1" x14ac:dyDescent="0.35">
      <c r="A252" s="4" t="s">
        <v>136</v>
      </c>
      <c r="B252" s="5" t="s">
        <v>148</v>
      </c>
      <c r="C252" s="5" t="s">
        <v>24</v>
      </c>
      <c r="D252" s="5" t="s">
        <v>19</v>
      </c>
      <c r="E252" s="4">
        <v>8</v>
      </c>
      <c r="F252" s="4" t="s">
        <v>188</v>
      </c>
      <c r="G252" s="4" t="s">
        <v>188</v>
      </c>
      <c r="H252" s="4"/>
      <c r="I252" s="4" t="s">
        <v>188</v>
      </c>
      <c r="J252" s="4" t="s">
        <v>188</v>
      </c>
      <c r="K252" s="4"/>
      <c r="L252" s="4" t="s">
        <v>188</v>
      </c>
      <c r="M252" s="4" t="s">
        <v>188</v>
      </c>
      <c r="N252" s="4"/>
      <c r="O252" s="4" t="s">
        <v>188</v>
      </c>
      <c r="P252" s="4" t="s">
        <v>188</v>
      </c>
      <c r="Q252" s="4"/>
    </row>
    <row r="253" spans="1:17" x14ac:dyDescent="0.35">
      <c r="A253" s="4" t="s">
        <v>136</v>
      </c>
      <c r="B253" s="5" t="s">
        <v>149</v>
      </c>
      <c r="C253" s="5" t="s">
        <v>7</v>
      </c>
      <c r="D253" s="5" t="s">
        <v>19</v>
      </c>
      <c r="E253" s="4">
        <v>10</v>
      </c>
      <c r="F253" s="4" t="s">
        <v>23</v>
      </c>
      <c r="G253" s="4" t="s">
        <v>187</v>
      </c>
      <c r="H253" s="4"/>
      <c r="I253" s="4" t="s">
        <v>23</v>
      </c>
      <c r="J253" s="4" t="s">
        <v>187</v>
      </c>
      <c r="K253" s="4"/>
      <c r="L253" s="4" t="s">
        <v>23</v>
      </c>
      <c r="M253" s="4" t="s">
        <v>187</v>
      </c>
      <c r="N253" s="4"/>
      <c r="O253" s="4" t="s">
        <v>23</v>
      </c>
      <c r="P253" s="4" t="s">
        <v>187</v>
      </c>
      <c r="Q253" s="4"/>
    </row>
    <row r="254" spans="1:17" hidden="1" x14ac:dyDescent="0.35">
      <c r="A254" s="4" t="s">
        <v>136</v>
      </c>
      <c r="B254" s="5" t="s">
        <v>150</v>
      </c>
      <c r="C254" s="5" t="s">
        <v>7</v>
      </c>
      <c r="D254" s="5" t="s">
        <v>19</v>
      </c>
      <c r="E254" s="4">
        <v>13</v>
      </c>
      <c r="F254" s="4" t="s">
        <v>19</v>
      </c>
      <c r="G254" s="4" t="s">
        <v>187</v>
      </c>
      <c r="H254" s="4"/>
      <c r="I254" s="4" t="s">
        <v>19</v>
      </c>
      <c r="J254" s="4" t="s">
        <v>187</v>
      </c>
      <c r="K254" s="4"/>
      <c r="L254" s="4" t="s">
        <v>19</v>
      </c>
      <c r="M254" s="4" t="s">
        <v>187</v>
      </c>
      <c r="N254" s="4"/>
      <c r="O254" s="4" t="s">
        <v>19</v>
      </c>
      <c r="P254" s="4" t="s">
        <v>187</v>
      </c>
      <c r="Q254" s="4"/>
    </row>
    <row r="255" spans="1:17" hidden="1" x14ac:dyDescent="0.35">
      <c r="A255" s="4" t="s">
        <v>136</v>
      </c>
      <c r="B255" s="5" t="s">
        <v>151</v>
      </c>
      <c r="C255" s="5" t="s">
        <v>10</v>
      </c>
      <c r="D255" s="5" t="s">
        <v>19</v>
      </c>
      <c r="E255" s="4">
        <v>2</v>
      </c>
      <c r="F255" s="4" t="s">
        <v>19</v>
      </c>
      <c r="G255" s="4" t="s">
        <v>187</v>
      </c>
      <c r="H255" s="4"/>
      <c r="I255" s="4" t="s">
        <v>19</v>
      </c>
      <c r="J255" s="4" t="s">
        <v>187</v>
      </c>
      <c r="K255" s="4"/>
      <c r="L255" s="4" t="s">
        <v>19</v>
      </c>
      <c r="M255" s="4" t="s">
        <v>187</v>
      </c>
      <c r="N255" s="4"/>
      <c r="O255" s="4" t="s">
        <v>19</v>
      </c>
      <c r="P255" s="4" t="s">
        <v>187</v>
      </c>
      <c r="Q255" s="4"/>
    </row>
    <row r="256" spans="1:17" hidden="1" x14ac:dyDescent="0.35">
      <c r="A256" s="4" t="s">
        <v>136</v>
      </c>
      <c r="B256" s="5" t="s">
        <v>150</v>
      </c>
      <c r="C256" s="5" t="s">
        <v>24</v>
      </c>
      <c r="D256" s="5" t="s">
        <v>19</v>
      </c>
      <c r="E256" s="4">
        <v>12</v>
      </c>
      <c r="F256" s="4" t="s">
        <v>19</v>
      </c>
      <c r="G256" s="4" t="s">
        <v>187</v>
      </c>
      <c r="H256" s="4"/>
      <c r="I256" s="4" t="s">
        <v>19</v>
      </c>
      <c r="J256" s="4" t="s">
        <v>187</v>
      </c>
      <c r="K256" s="4"/>
      <c r="L256" s="4" t="s">
        <v>19</v>
      </c>
      <c r="M256" s="4" t="s">
        <v>187</v>
      </c>
      <c r="N256" s="4"/>
      <c r="O256" s="4" t="s">
        <v>19</v>
      </c>
      <c r="P256" s="4" t="s">
        <v>187</v>
      </c>
      <c r="Q256" s="4"/>
    </row>
    <row r="257" spans="1:17" hidden="1" x14ac:dyDescent="0.35">
      <c r="A257" s="4" t="s">
        <v>136</v>
      </c>
      <c r="B257" s="5" t="s">
        <v>23</v>
      </c>
      <c r="C257" s="5" t="s">
        <v>7</v>
      </c>
      <c r="D257" s="5" t="s">
        <v>23</v>
      </c>
      <c r="E257" s="4">
        <v>12</v>
      </c>
      <c r="F257" s="4" t="s">
        <v>23</v>
      </c>
      <c r="G257" s="4" t="s">
        <v>189</v>
      </c>
      <c r="H257" s="4"/>
      <c r="I257" s="4" t="s">
        <v>23</v>
      </c>
      <c r="J257" s="4" t="s">
        <v>189</v>
      </c>
      <c r="K257" s="4"/>
      <c r="L257" s="4" t="s">
        <v>23</v>
      </c>
      <c r="M257" s="4" t="s">
        <v>189</v>
      </c>
      <c r="N257" s="4"/>
      <c r="O257" s="4" t="s">
        <v>23</v>
      </c>
      <c r="P257" s="4" t="s">
        <v>189</v>
      </c>
      <c r="Q257" s="4"/>
    </row>
    <row r="258" spans="1:17" x14ac:dyDescent="0.35">
      <c r="A258" s="4" t="s">
        <v>136</v>
      </c>
      <c r="B258" s="5" t="s">
        <v>152</v>
      </c>
      <c r="C258" s="5" t="s">
        <v>10</v>
      </c>
      <c r="D258" s="5" t="s">
        <v>23</v>
      </c>
      <c r="E258" s="4">
        <v>2</v>
      </c>
      <c r="F258" s="4" t="s">
        <v>23</v>
      </c>
      <c r="G258" s="4" t="s">
        <v>187</v>
      </c>
      <c r="H258" s="4"/>
      <c r="I258" s="4" t="s">
        <v>23</v>
      </c>
      <c r="J258" s="4" t="s">
        <v>187</v>
      </c>
      <c r="K258" s="4"/>
      <c r="L258" s="4" t="s">
        <v>23</v>
      </c>
      <c r="M258" s="4" t="s">
        <v>187</v>
      </c>
      <c r="N258" s="4"/>
      <c r="O258" s="4" t="s">
        <v>23</v>
      </c>
      <c r="P258" s="4" t="s">
        <v>187</v>
      </c>
      <c r="Q258" s="4"/>
    </row>
    <row r="259" spans="1:17" hidden="1" x14ac:dyDescent="0.35">
      <c r="A259" s="4" t="s">
        <v>136</v>
      </c>
      <c r="B259" s="5" t="s">
        <v>153</v>
      </c>
      <c r="C259" s="5" t="s">
        <v>7</v>
      </c>
      <c r="D259" s="5" t="s">
        <v>19</v>
      </c>
      <c r="E259" s="4">
        <v>26</v>
      </c>
      <c r="F259" s="4" t="s">
        <v>19</v>
      </c>
      <c r="G259" s="4" t="s">
        <v>189</v>
      </c>
      <c r="H259" s="4"/>
      <c r="I259" s="4" t="s">
        <v>19</v>
      </c>
      <c r="J259" s="4" t="s">
        <v>189</v>
      </c>
      <c r="K259" s="4"/>
      <c r="L259" s="4" t="s">
        <v>19</v>
      </c>
      <c r="M259" s="4" t="s">
        <v>189</v>
      </c>
      <c r="N259" s="4"/>
      <c r="O259" s="4" t="s">
        <v>19</v>
      </c>
      <c r="P259" s="4" t="s">
        <v>189</v>
      </c>
      <c r="Q259" s="4"/>
    </row>
    <row r="260" spans="1:17" hidden="1" x14ac:dyDescent="0.35">
      <c r="A260" s="4" t="s">
        <v>136</v>
      </c>
      <c r="B260" s="5" t="s">
        <v>154</v>
      </c>
      <c r="C260" s="5" t="s">
        <v>7</v>
      </c>
      <c r="D260" s="5" t="s">
        <v>19</v>
      </c>
      <c r="E260" s="4">
        <v>26</v>
      </c>
      <c r="F260" s="4" t="s">
        <v>19</v>
      </c>
      <c r="G260" s="4" t="s">
        <v>189</v>
      </c>
      <c r="H260" s="4"/>
      <c r="I260" s="4" t="s">
        <v>19</v>
      </c>
      <c r="J260" s="4" t="s">
        <v>189</v>
      </c>
      <c r="K260" s="4"/>
      <c r="L260" s="4" t="s">
        <v>19</v>
      </c>
      <c r="M260" s="4" t="s">
        <v>189</v>
      </c>
      <c r="N260" s="4"/>
      <c r="O260" s="4" t="s">
        <v>19</v>
      </c>
      <c r="P260" s="4" t="s">
        <v>189</v>
      </c>
      <c r="Q260" s="4"/>
    </row>
    <row r="261" spans="1:17" hidden="1" x14ac:dyDescent="0.35">
      <c r="A261" s="4" t="s">
        <v>136</v>
      </c>
      <c r="B261" s="5" t="s">
        <v>155</v>
      </c>
      <c r="C261" s="5" t="s">
        <v>7</v>
      </c>
      <c r="D261" s="5" t="s">
        <v>19</v>
      </c>
      <c r="E261" s="4">
        <v>26</v>
      </c>
      <c r="F261" s="4" t="s">
        <v>19</v>
      </c>
      <c r="G261" s="4" t="s">
        <v>189</v>
      </c>
      <c r="H261" s="4"/>
      <c r="I261" s="4" t="s">
        <v>19</v>
      </c>
      <c r="J261" s="4" t="s">
        <v>189</v>
      </c>
      <c r="K261" s="4"/>
      <c r="L261" s="4" t="s">
        <v>19</v>
      </c>
      <c r="M261" s="4" t="s">
        <v>189</v>
      </c>
      <c r="N261" s="4"/>
      <c r="O261" s="4" t="s">
        <v>19</v>
      </c>
      <c r="P261" s="4" t="s">
        <v>189</v>
      </c>
      <c r="Q261" s="4"/>
    </row>
    <row r="262" spans="1:17" hidden="1" x14ac:dyDescent="0.35">
      <c r="A262" s="4" t="s">
        <v>136</v>
      </c>
      <c r="B262" s="5" t="s">
        <v>156</v>
      </c>
      <c r="C262" s="5" t="s">
        <v>7</v>
      </c>
      <c r="D262" s="5" t="s">
        <v>19</v>
      </c>
      <c r="E262" s="4">
        <v>26</v>
      </c>
      <c r="F262" s="4" t="s">
        <v>19</v>
      </c>
      <c r="G262" s="4" t="s">
        <v>189</v>
      </c>
      <c r="H262" s="4"/>
      <c r="I262" s="4" t="s">
        <v>19</v>
      </c>
      <c r="J262" s="4" t="s">
        <v>189</v>
      </c>
      <c r="K262" s="4"/>
      <c r="L262" s="4" t="s">
        <v>19</v>
      </c>
      <c r="M262" s="4" t="s">
        <v>189</v>
      </c>
      <c r="N262" s="4"/>
      <c r="O262" s="4" t="s">
        <v>19</v>
      </c>
      <c r="P262" s="4" t="s">
        <v>189</v>
      </c>
      <c r="Q262" s="4"/>
    </row>
    <row r="263" spans="1:17" hidden="1" x14ac:dyDescent="0.35">
      <c r="A263" s="4" t="s">
        <v>136</v>
      </c>
      <c r="B263" s="5" t="s">
        <v>157</v>
      </c>
      <c r="C263" s="5" t="s">
        <v>7</v>
      </c>
      <c r="D263" s="5" t="s">
        <v>19</v>
      </c>
      <c r="E263" s="4">
        <v>19</v>
      </c>
      <c r="F263" s="4" t="s">
        <v>19</v>
      </c>
      <c r="G263" s="4" t="s">
        <v>189</v>
      </c>
      <c r="H263" s="4"/>
      <c r="I263" s="4" t="s">
        <v>19</v>
      </c>
      <c r="J263" s="4" t="s">
        <v>189</v>
      </c>
      <c r="K263" s="4"/>
      <c r="L263" s="4" t="s">
        <v>19</v>
      </c>
      <c r="M263" s="4" t="s">
        <v>189</v>
      </c>
      <c r="N263" s="4"/>
      <c r="O263" s="4" t="s">
        <v>19</v>
      </c>
      <c r="P263" s="4" t="s">
        <v>189</v>
      </c>
      <c r="Q263" s="4"/>
    </row>
    <row r="264" spans="1:17" hidden="1" x14ac:dyDescent="0.35">
      <c r="A264" s="4" t="s">
        <v>136</v>
      </c>
      <c r="B264" s="5" t="s">
        <v>158</v>
      </c>
      <c r="C264" s="5" t="s">
        <v>16</v>
      </c>
      <c r="D264" s="5" t="s">
        <v>13</v>
      </c>
      <c r="E264" s="4">
        <v>10</v>
      </c>
      <c r="F264" s="4" t="s">
        <v>188</v>
      </c>
      <c r="G264" s="4" t="s">
        <v>188</v>
      </c>
      <c r="H264" s="4"/>
      <c r="I264" s="4" t="s">
        <v>188</v>
      </c>
      <c r="J264" s="4" t="s">
        <v>188</v>
      </c>
      <c r="K264" s="4"/>
      <c r="L264" s="4" t="s">
        <v>188</v>
      </c>
      <c r="M264" s="4" t="s">
        <v>188</v>
      </c>
      <c r="N264" s="4"/>
      <c r="O264" s="4" t="s">
        <v>188</v>
      </c>
      <c r="P264" s="4" t="s">
        <v>188</v>
      </c>
      <c r="Q264" s="4"/>
    </row>
    <row r="265" spans="1:17" hidden="1" x14ac:dyDescent="0.35">
      <c r="A265" s="4" t="s">
        <v>136</v>
      </c>
      <c r="B265" s="5" t="s">
        <v>159</v>
      </c>
      <c r="C265" s="5" t="s">
        <v>14</v>
      </c>
      <c r="D265" s="5" t="s">
        <v>13</v>
      </c>
      <c r="E265" s="4">
        <v>36</v>
      </c>
      <c r="F265" s="4" t="s">
        <v>188</v>
      </c>
      <c r="G265" s="4" t="s">
        <v>188</v>
      </c>
      <c r="H265" s="4"/>
      <c r="I265" s="4" t="s">
        <v>188</v>
      </c>
      <c r="J265" s="4" t="s">
        <v>188</v>
      </c>
      <c r="K265" s="4"/>
      <c r="L265" s="4" t="s">
        <v>188</v>
      </c>
      <c r="M265" s="4" t="s">
        <v>188</v>
      </c>
      <c r="N265" s="4"/>
      <c r="O265" s="4" t="s">
        <v>188</v>
      </c>
      <c r="P265" s="4" t="s">
        <v>188</v>
      </c>
      <c r="Q265" s="4"/>
    </row>
    <row r="266" spans="1:17" hidden="1" x14ac:dyDescent="0.35">
      <c r="A266" s="4" t="s">
        <v>136</v>
      </c>
      <c r="B266" s="5" t="s">
        <v>160</v>
      </c>
      <c r="C266" s="5" t="s">
        <v>14</v>
      </c>
      <c r="D266" s="5" t="s">
        <v>13</v>
      </c>
      <c r="E266" s="4">
        <v>10</v>
      </c>
      <c r="F266" s="4" t="s">
        <v>188</v>
      </c>
      <c r="G266" s="4" t="s">
        <v>188</v>
      </c>
      <c r="H266" s="4"/>
      <c r="I266" s="4" t="s">
        <v>188</v>
      </c>
      <c r="J266" s="4" t="s">
        <v>188</v>
      </c>
      <c r="K266" s="4"/>
      <c r="L266" s="4" t="s">
        <v>188</v>
      </c>
      <c r="M266" s="4" t="s">
        <v>188</v>
      </c>
      <c r="N266" s="4"/>
      <c r="O266" s="4" t="s">
        <v>188</v>
      </c>
      <c r="P266" s="4" t="s">
        <v>188</v>
      </c>
      <c r="Q266" s="4"/>
    </row>
    <row r="267" spans="1:17" hidden="1" x14ac:dyDescent="0.35">
      <c r="A267" s="4" t="s">
        <v>136</v>
      </c>
      <c r="B267" s="5" t="s">
        <v>161</v>
      </c>
      <c r="C267" s="5" t="s">
        <v>16</v>
      </c>
      <c r="D267" s="5" t="s">
        <v>13</v>
      </c>
      <c r="E267" s="4">
        <v>22</v>
      </c>
      <c r="F267" s="4" t="s">
        <v>188</v>
      </c>
      <c r="G267" s="4" t="s">
        <v>188</v>
      </c>
      <c r="H267" s="4"/>
      <c r="I267" s="4" t="s">
        <v>188</v>
      </c>
      <c r="J267" s="4" t="s">
        <v>188</v>
      </c>
      <c r="K267" s="4"/>
      <c r="L267" s="4" t="s">
        <v>188</v>
      </c>
      <c r="M267" s="4" t="s">
        <v>188</v>
      </c>
      <c r="N267" s="4"/>
      <c r="O267" s="4" t="s">
        <v>188</v>
      </c>
      <c r="P267" s="4" t="s">
        <v>188</v>
      </c>
      <c r="Q267" s="4"/>
    </row>
    <row r="268" spans="1:17" hidden="1" x14ac:dyDescent="0.35">
      <c r="A268" s="4" t="s">
        <v>136</v>
      </c>
      <c r="B268" s="5" t="s">
        <v>162</v>
      </c>
      <c r="C268" s="5" t="s">
        <v>17</v>
      </c>
      <c r="D268" s="5" t="s">
        <v>13</v>
      </c>
      <c r="E268" s="4">
        <v>10</v>
      </c>
      <c r="F268" s="4" t="s">
        <v>188</v>
      </c>
      <c r="G268" s="4" t="s">
        <v>188</v>
      </c>
      <c r="H268" s="4"/>
      <c r="I268" s="4" t="s">
        <v>188</v>
      </c>
      <c r="J268" s="4" t="s">
        <v>188</v>
      </c>
      <c r="K268" s="4"/>
      <c r="L268" s="4" t="s">
        <v>188</v>
      </c>
      <c r="M268" s="4" t="s">
        <v>188</v>
      </c>
      <c r="N268" s="4"/>
      <c r="O268" s="4" t="s">
        <v>188</v>
      </c>
      <c r="P268" s="4" t="s">
        <v>188</v>
      </c>
      <c r="Q268" s="4"/>
    </row>
    <row r="269" spans="1:17" hidden="1" x14ac:dyDescent="0.35">
      <c r="A269" s="4" t="s">
        <v>136</v>
      </c>
      <c r="B269" s="5" t="s">
        <v>163</v>
      </c>
      <c r="C269" s="5" t="s">
        <v>43</v>
      </c>
      <c r="D269" s="5" t="s">
        <v>19</v>
      </c>
      <c r="E269" s="4">
        <v>12</v>
      </c>
      <c r="F269" s="4" t="s">
        <v>188</v>
      </c>
      <c r="G269" s="4" t="s">
        <v>188</v>
      </c>
      <c r="H269" s="4"/>
      <c r="I269" s="4" t="s">
        <v>188</v>
      </c>
      <c r="J269" s="4" t="s">
        <v>188</v>
      </c>
      <c r="K269" s="4"/>
      <c r="L269" s="4" t="s">
        <v>188</v>
      </c>
      <c r="M269" s="4" t="s">
        <v>188</v>
      </c>
      <c r="N269" s="4"/>
      <c r="O269" s="4" t="s">
        <v>188</v>
      </c>
      <c r="P269" s="4" t="s">
        <v>188</v>
      </c>
      <c r="Q269" s="4"/>
    </row>
    <row r="270" spans="1:17" hidden="1" x14ac:dyDescent="0.35">
      <c r="A270" s="4" t="s">
        <v>164</v>
      </c>
      <c r="B270" s="5" t="s">
        <v>165</v>
      </c>
      <c r="C270" s="5" t="s">
        <v>7</v>
      </c>
      <c r="D270" s="5" t="s">
        <v>19</v>
      </c>
      <c r="E270" s="4">
        <v>17</v>
      </c>
      <c r="F270" s="4" t="s">
        <v>19</v>
      </c>
      <c r="G270" s="4" t="s">
        <v>187</v>
      </c>
      <c r="H270" s="4">
        <v>-1</v>
      </c>
      <c r="I270" s="4" t="s">
        <v>19</v>
      </c>
      <c r="J270" s="4" t="s">
        <v>187</v>
      </c>
      <c r="K270" s="4">
        <v>-1</v>
      </c>
      <c r="L270" s="4" t="s">
        <v>19</v>
      </c>
      <c r="M270" s="4" t="s">
        <v>187</v>
      </c>
      <c r="N270" s="4">
        <v>-1</v>
      </c>
      <c r="O270" s="4" t="s">
        <v>19</v>
      </c>
      <c r="P270" s="4" t="s">
        <v>187</v>
      </c>
      <c r="Q270" s="4">
        <v>-1</v>
      </c>
    </row>
    <row r="271" spans="1:17" hidden="1" x14ac:dyDescent="0.35">
      <c r="A271" s="4" t="s">
        <v>164</v>
      </c>
      <c r="B271" s="5" t="s">
        <v>166</v>
      </c>
      <c r="C271" s="5" t="s">
        <v>7</v>
      </c>
      <c r="D271" s="5" t="s">
        <v>19</v>
      </c>
      <c r="E271" s="4">
        <v>17</v>
      </c>
      <c r="F271" s="4" t="s">
        <v>19</v>
      </c>
      <c r="G271" s="4" t="s">
        <v>189</v>
      </c>
      <c r="H271" s="4"/>
      <c r="I271" s="4" t="s">
        <v>19</v>
      </c>
      <c r="J271" s="4" t="s">
        <v>189</v>
      </c>
      <c r="K271" s="4"/>
      <c r="L271" s="4" t="s">
        <v>19</v>
      </c>
      <c r="M271" s="4" t="s">
        <v>189</v>
      </c>
      <c r="N271" s="4"/>
      <c r="O271" s="4" t="s">
        <v>19</v>
      </c>
      <c r="P271" s="4" t="s">
        <v>189</v>
      </c>
      <c r="Q271" s="4"/>
    </row>
    <row r="272" spans="1:17" hidden="1" x14ac:dyDescent="0.35">
      <c r="A272" s="4" t="s">
        <v>164</v>
      </c>
      <c r="B272" s="5" t="s">
        <v>166</v>
      </c>
      <c r="C272" s="5" t="s">
        <v>10</v>
      </c>
      <c r="D272" s="5" t="s">
        <v>19</v>
      </c>
      <c r="E272" s="4">
        <v>1</v>
      </c>
      <c r="F272" s="4" t="s">
        <v>19</v>
      </c>
      <c r="G272" s="4" t="s">
        <v>189</v>
      </c>
      <c r="H272" s="4"/>
      <c r="I272" s="4" t="s">
        <v>19</v>
      </c>
      <c r="J272" s="4" t="s">
        <v>189</v>
      </c>
      <c r="K272" s="4"/>
      <c r="L272" s="4" t="s">
        <v>19</v>
      </c>
      <c r="M272" s="4" t="s">
        <v>189</v>
      </c>
      <c r="N272" s="4"/>
      <c r="O272" s="4" t="s">
        <v>19</v>
      </c>
      <c r="P272" s="4" t="s">
        <v>189</v>
      </c>
      <c r="Q272" s="4"/>
    </row>
    <row r="273" spans="1:17" hidden="1" x14ac:dyDescent="0.35">
      <c r="A273" s="4" t="s">
        <v>164</v>
      </c>
      <c r="B273" s="5" t="s">
        <v>167</v>
      </c>
      <c r="C273" s="5" t="s">
        <v>7</v>
      </c>
      <c r="D273" s="5" t="s">
        <v>28</v>
      </c>
      <c r="E273" s="4">
        <v>17</v>
      </c>
      <c r="F273" s="4" t="s">
        <v>23</v>
      </c>
      <c r="G273" s="4" t="s">
        <v>189</v>
      </c>
      <c r="H273" s="4"/>
      <c r="I273" s="4" t="s">
        <v>23</v>
      </c>
      <c r="J273" s="4" t="s">
        <v>187</v>
      </c>
      <c r="K273" s="4"/>
      <c r="L273" s="4" t="s">
        <v>23</v>
      </c>
      <c r="M273" s="4" t="s">
        <v>187</v>
      </c>
      <c r="N273" s="4"/>
      <c r="O273" s="4" t="s">
        <v>23</v>
      </c>
      <c r="P273" s="4" t="s">
        <v>187</v>
      </c>
      <c r="Q273" s="4"/>
    </row>
    <row r="274" spans="1:17" hidden="1" x14ac:dyDescent="0.35">
      <c r="A274" s="4" t="s">
        <v>164</v>
      </c>
      <c r="B274" s="5" t="s">
        <v>167</v>
      </c>
      <c r="C274" s="5" t="s">
        <v>10</v>
      </c>
      <c r="D274" s="5" t="s">
        <v>28</v>
      </c>
      <c r="E274" s="4">
        <v>1</v>
      </c>
      <c r="F274" s="4" t="s">
        <v>23</v>
      </c>
      <c r="G274" s="4" t="s">
        <v>189</v>
      </c>
      <c r="H274" s="4"/>
      <c r="I274" s="4" t="s">
        <v>23</v>
      </c>
      <c r="J274" s="4" t="s">
        <v>187</v>
      </c>
      <c r="K274" s="4"/>
      <c r="L274" s="4" t="s">
        <v>23</v>
      </c>
      <c r="M274" s="4" t="s">
        <v>187</v>
      </c>
      <c r="N274" s="4"/>
      <c r="O274" s="4" t="s">
        <v>23</v>
      </c>
      <c r="P274" s="4" t="s">
        <v>187</v>
      </c>
      <c r="Q274" s="4"/>
    </row>
    <row r="275" spans="1:17" hidden="1" x14ac:dyDescent="0.35">
      <c r="A275" s="4" t="s">
        <v>164</v>
      </c>
      <c r="B275" s="5" t="s">
        <v>168</v>
      </c>
      <c r="C275" s="5" t="s">
        <v>7</v>
      </c>
      <c r="D275" s="5" t="s">
        <v>23</v>
      </c>
      <c r="E275" s="4">
        <v>10</v>
      </c>
      <c r="F275" s="4" t="s">
        <v>23</v>
      </c>
      <c r="G275" s="4" t="s">
        <v>189</v>
      </c>
      <c r="H275" s="4"/>
      <c r="I275" s="4" t="s">
        <v>23</v>
      </c>
      <c r="J275" s="4" t="s">
        <v>189</v>
      </c>
      <c r="K275" s="4"/>
      <c r="L275" s="4" t="s">
        <v>23</v>
      </c>
      <c r="M275" s="4" t="s">
        <v>189</v>
      </c>
      <c r="N275" s="4"/>
      <c r="O275" s="4" t="s">
        <v>23</v>
      </c>
      <c r="P275" s="4" t="s">
        <v>189</v>
      </c>
      <c r="Q275" s="4"/>
    </row>
    <row r="276" spans="1:17" hidden="1" x14ac:dyDescent="0.35">
      <c r="A276" s="4" t="s">
        <v>164</v>
      </c>
      <c r="B276" s="5" t="s">
        <v>168</v>
      </c>
      <c r="C276" s="5" t="s">
        <v>10</v>
      </c>
      <c r="D276" s="5" t="s">
        <v>23</v>
      </c>
      <c r="E276" s="4">
        <v>2</v>
      </c>
      <c r="F276" s="4" t="s">
        <v>23</v>
      </c>
      <c r="G276" s="4" t="s">
        <v>189</v>
      </c>
      <c r="H276" s="4"/>
      <c r="I276" s="4" t="s">
        <v>23</v>
      </c>
      <c r="J276" s="4" t="s">
        <v>189</v>
      </c>
      <c r="K276" s="4"/>
      <c r="L276" s="4" t="s">
        <v>23</v>
      </c>
      <c r="M276" s="4" t="s">
        <v>189</v>
      </c>
      <c r="N276" s="4"/>
      <c r="O276" s="4" t="s">
        <v>23</v>
      </c>
      <c r="P276" s="4" t="s">
        <v>189</v>
      </c>
      <c r="Q276" s="4"/>
    </row>
    <row r="277" spans="1:17" hidden="1" x14ac:dyDescent="0.35">
      <c r="A277" s="4" t="s">
        <v>164</v>
      </c>
      <c r="B277" s="5" t="s">
        <v>169</v>
      </c>
      <c r="C277" s="5" t="s">
        <v>7</v>
      </c>
      <c r="D277" s="5" t="s">
        <v>23</v>
      </c>
      <c r="E277" s="4">
        <v>10</v>
      </c>
      <c r="F277" s="4" t="s">
        <v>23</v>
      </c>
      <c r="G277" s="4" t="s">
        <v>189</v>
      </c>
      <c r="H277" s="4"/>
      <c r="I277" s="4" t="s">
        <v>23</v>
      </c>
      <c r="J277" s="4" t="s">
        <v>189</v>
      </c>
      <c r="K277" s="4"/>
      <c r="L277" s="4" t="s">
        <v>23</v>
      </c>
      <c r="M277" s="4" t="s">
        <v>189</v>
      </c>
      <c r="N277" s="4"/>
      <c r="O277" s="4" t="s">
        <v>23</v>
      </c>
      <c r="P277" s="4" t="s">
        <v>189</v>
      </c>
      <c r="Q277" s="4"/>
    </row>
    <row r="278" spans="1:17" hidden="1" x14ac:dyDescent="0.35">
      <c r="A278" s="4" t="s">
        <v>164</v>
      </c>
      <c r="B278" s="5" t="s">
        <v>169</v>
      </c>
      <c r="C278" s="5" t="s">
        <v>10</v>
      </c>
      <c r="D278" s="5" t="s">
        <v>23</v>
      </c>
      <c r="E278" s="4">
        <v>2</v>
      </c>
      <c r="F278" s="4" t="s">
        <v>23</v>
      </c>
      <c r="G278" s="4" t="s">
        <v>189</v>
      </c>
      <c r="H278" s="4"/>
      <c r="I278" s="4" t="s">
        <v>23</v>
      </c>
      <c r="J278" s="4" t="s">
        <v>189</v>
      </c>
      <c r="K278" s="4"/>
      <c r="L278" s="4" t="s">
        <v>23</v>
      </c>
      <c r="M278" s="4" t="s">
        <v>189</v>
      </c>
      <c r="N278" s="4"/>
      <c r="O278" s="4" t="s">
        <v>23</v>
      </c>
      <c r="P278" s="4" t="s">
        <v>189</v>
      </c>
      <c r="Q278" s="4"/>
    </row>
    <row r="279" spans="1:17" hidden="1" x14ac:dyDescent="0.35">
      <c r="A279" s="4" t="s">
        <v>164</v>
      </c>
      <c r="B279" s="5" t="s">
        <v>170</v>
      </c>
      <c r="C279" s="5" t="s">
        <v>7</v>
      </c>
      <c r="D279" s="5" t="s">
        <v>19</v>
      </c>
      <c r="E279" s="4">
        <v>21</v>
      </c>
      <c r="F279" s="4" t="s">
        <v>19</v>
      </c>
      <c r="G279" s="4" t="s">
        <v>189</v>
      </c>
      <c r="H279" s="4"/>
      <c r="I279" s="4" t="s">
        <v>19</v>
      </c>
      <c r="J279" s="4" t="s">
        <v>189</v>
      </c>
      <c r="K279" s="4"/>
      <c r="L279" s="4" t="s">
        <v>19</v>
      </c>
      <c r="M279" s="4" t="s">
        <v>189</v>
      </c>
      <c r="N279" s="4"/>
      <c r="O279" s="4" t="s">
        <v>19</v>
      </c>
      <c r="P279" s="4" t="s">
        <v>189</v>
      </c>
      <c r="Q279" s="4"/>
    </row>
    <row r="280" spans="1:17" hidden="1" x14ac:dyDescent="0.35">
      <c r="A280" s="4" t="s">
        <v>164</v>
      </c>
      <c r="B280" s="5" t="s">
        <v>170</v>
      </c>
      <c r="C280" s="5" t="s">
        <v>10</v>
      </c>
      <c r="D280" s="5" t="s">
        <v>19</v>
      </c>
      <c r="E280" s="4">
        <v>3</v>
      </c>
      <c r="F280" s="4" t="s">
        <v>19</v>
      </c>
      <c r="G280" s="4" t="s">
        <v>189</v>
      </c>
      <c r="H280" s="4"/>
      <c r="I280" s="4" t="s">
        <v>19</v>
      </c>
      <c r="J280" s="4" t="s">
        <v>189</v>
      </c>
      <c r="K280" s="4"/>
      <c r="L280" s="4" t="s">
        <v>19</v>
      </c>
      <c r="M280" s="4" t="s">
        <v>189</v>
      </c>
      <c r="N280" s="4"/>
      <c r="O280" s="4" t="s">
        <v>19</v>
      </c>
      <c r="P280" s="4" t="s">
        <v>189</v>
      </c>
      <c r="Q280" s="4"/>
    </row>
    <row r="281" spans="1:17" hidden="1" x14ac:dyDescent="0.35">
      <c r="A281" s="4" t="s">
        <v>164</v>
      </c>
      <c r="B281" s="5" t="s">
        <v>171</v>
      </c>
      <c r="C281" s="5" t="s">
        <v>7</v>
      </c>
      <c r="D281" s="5" t="s">
        <v>19</v>
      </c>
      <c r="E281" s="4">
        <v>8</v>
      </c>
      <c r="F281" s="4" t="s">
        <v>19</v>
      </c>
      <c r="G281" s="4" t="s">
        <v>187</v>
      </c>
      <c r="H281" s="4">
        <v>-1</v>
      </c>
      <c r="I281" s="4" t="s">
        <v>19</v>
      </c>
      <c r="J281" s="4" t="s">
        <v>187</v>
      </c>
      <c r="K281" s="4">
        <v>-1</v>
      </c>
      <c r="L281" s="4" t="s">
        <v>19</v>
      </c>
      <c r="M281" s="4" t="s">
        <v>187</v>
      </c>
      <c r="N281" s="4">
        <v>-1</v>
      </c>
      <c r="O281" s="4" t="s">
        <v>19</v>
      </c>
      <c r="P281" s="4" t="s">
        <v>187</v>
      </c>
      <c r="Q281" s="4">
        <v>-1</v>
      </c>
    </row>
    <row r="282" spans="1:17" hidden="1" x14ac:dyDescent="0.35">
      <c r="A282" s="4" t="s">
        <v>164</v>
      </c>
      <c r="B282" s="5" t="s">
        <v>240</v>
      </c>
      <c r="C282" s="5" t="s">
        <v>7</v>
      </c>
      <c r="D282" s="5" t="s">
        <v>19</v>
      </c>
      <c r="E282" s="4">
        <v>10</v>
      </c>
      <c r="F282" s="4" t="s">
        <v>23</v>
      </c>
      <c r="G282" s="4" t="s">
        <v>187</v>
      </c>
      <c r="H282" s="4"/>
      <c r="I282" s="4" t="s">
        <v>23</v>
      </c>
      <c r="J282" s="4" t="s">
        <v>187</v>
      </c>
      <c r="K282" s="4"/>
      <c r="L282" s="4" t="s">
        <v>23</v>
      </c>
      <c r="M282" s="4" t="s">
        <v>187</v>
      </c>
      <c r="N282" s="4"/>
      <c r="O282" s="4" t="s">
        <v>23</v>
      </c>
      <c r="P282" s="4" t="s">
        <v>187</v>
      </c>
      <c r="Q282" s="4"/>
    </row>
    <row r="283" spans="1:17" hidden="1" x14ac:dyDescent="0.35">
      <c r="A283" s="4" t="s">
        <v>164</v>
      </c>
      <c r="B283" s="5" t="s">
        <v>171</v>
      </c>
      <c r="C283" s="5" t="s">
        <v>10</v>
      </c>
      <c r="D283" s="5" t="s">
        <v>19</v>
      </c>
      <c r="E283" s="4">
        <v>2</v>
      </c>
      <c r="F283" s="4" t="s">
        <v>23</v>
      </c>
      <c r="G283" s="4" t="s">
        <v>187</v>
      </c>
      <c r="H283" s="4"/>
      <c r="I283" s="4" t="s">
        <v>23</v>
      </c>
      <c r="J283" s="4" t="s">
        <v>187</v>
      </c>
      <c r="K283" s="4"/>
      <c r="L283" s="4" t="s">
        <v>23</v>
      </c>
      <c r="M283" s="4" t="s">
        <v>187</v>
      </c>
      <c r="N283" s="4"/>
      <c r="O283" s="4" t="s">
        <v>23</v>
      </c>
      <c r="P283" s="4" t="s">
        <v>187</v>
      </c>
      <c r="Q283" s="4"/>
    </row>
    <row r="284" spans="1:17" hidden="1" x14ac:dyDescent="0.35">
      <c r="A284" s="4" t="s">
        <v>164</v>
      </c>
      <c r="B284" s="5" t="s">
        <v>172</v>
      </c>
      <c r="C284" s="5" t="s">
        <v>7</v>
      </c>
      <c r="D284" s="5" t="s">
        <v>19</v>
      </c>
      <c r="E284" s="4">
        <v>28</v>
      </c>
      <c r="F284" s="4" t="s">
        <v>19</v>
      </c>
      <c r="G284" s="4" t="s">
        <v>189</v>
      </c>
      <c r="H284" s="4"/>
      <c r="I284" s="4" t="s">
        <v>19</v>
      </c>
      <c r="J284" s="4" t="s">
        <v>189</v>
      </c>
      <c r="K284" s="4"/>
      <c r="L284" s="4" t="s">
        <v>19</v>
      </c>
      <c r="M284" s="4" t="s">
        <v>189</v>
      </c>
      <c r="N284" s="4"/>
      <c r="O284" s="4" t="s">
        <v>19</v>
      </c>
      <c r="P284" s="4" t="s">
        <v>189</v>
      </c>
      <c r="Q284" s="4"/>
    </row>
    <row r="285" spans="1:17" hidden="1" x14ac:dyDescent="0.35">
      <c r="A285" s="4" t="s">
        <v>164</v>
      </c>
      <c r="B285" s="5" t="s">
        <v>172</v>
      </c>
      <c r="C285" s="5" t="s">
        <v>10</v>
      </c>
      <c r="D285" s="5" t="s">
        <v>19</v>
      </c>
      <c r="E285" s="4">
        <v>2</v>
      </c>
      <c r="F285" s="4" t="s">
        <v>19</v>
      </c>
      <c r="G285" s="4" t="s">
        <v>189</v>
      </c>
      <c r="H285" s="4"/>
      <c r="I285" s="4" t="s">
        <v>19</v>
      </c>
      <c r="J285" s="4" t="s">
        <v>189</v>
      </c>
      <c r="K285" s="4"/>
      <c r="L285" s="4" t="s">
        <v>19</v>
      </c>
      <c r="M285" s="4" t="s">
        <v>189</v>
      </c>
      <c r="N285" s="4"/>
      <c r="O285" s="4" t="s">
        <v>19</v>
      </c>
      <c r="P285" s="4" t="s">
        <v>189</v>
      </c>
      <c r="Q285" s="4"/>
    </row>
    <row r="286" spans="1:17" hidden="1" x14ac:dyDescent="0.35">
      <c r="A286" s="4" t="s">
        <v>164</v>
      </c>
      <c r="B286" s="5" t="s">
        <v>173</v>
      </c>
      <c r="C286" s="5" t="s">
        <v>7</v>
      </c>
      <c r="D286" s="5" t="s">
        <v>19</v>
      </c>
      <c r="E286" s="4">
        <v>28</v>
      </c>
      <c r="F286" s="4" t="s">
        <v>19</v>
      </c>
      <c r="G286" s="4" t="s">
        <v>189</v>
      </c>
      <c r="H286" s="4"/>
      <c r="I286" s="4" t="s">
        <v>19</v>
      </c>
      <c r="J286" s="4" t="s">
        <v>189</v>
      </c>
      <c r="K286" s="4"/>
      <c r="L286" s="4" t="s">
        <v>19</v>
      </c>
      <c r="M286" s="4" t="s">
        <v>189</v>
      </c>
      <c r="N286" s="4"/>
      <c r="O286" s="4" t="s">
        <v>19</v>
      </c>
      <c r="P286" s="4" t="s">
        <v>189</v>
      </c>
      <c r="Q286" s="4"/>
    </row>
    <row r="287" spans="1:17" hidden="1" x14ac:dyDescent="0.35">
      <c r="A287" s="4" t="s">
        <v>164</v>
      </c>
      <c r="B287" s="5" t="s">
        <v>173</v>
      </c>
      <c r="C287" s="5" t="s">
        <v>10</v>
      </c>
      <c r="D287" s="5" t="s">
        <v>19</v>
      </c>
      <c r="E287" s="4">
        <v>2</v>
      </c>
      <c r="F287" s="4" t="s">
        <v>19</v>
      </c>
      <c r="G287" s="4" t="s">
        <v>189</v>
      </c>
      <c r="H287" s="4"/>
      <c r="I287" s="4" t="s">
        <v>19</v>
      </c>
      <c r="J287" s="4" t="s">
        <v>189</v>
      </c>
      <c r="K287" s="4"/>
      <c r="L287" s="4" t="s">
        <v>19</v>
      </c>
      <c r="M287" s="4" t="s">
        <v>189</v>
      </c>
      <c r="N287" s="4"/>
      <c r="O287" s="4" t="s">
        <v>19</v>
      </c>
      <c r="P287" s="4" t="s">
        <v>189</v>
      </c>
      <c r="Q287" s="4"/>
    </row>
    <row r="288" spans="1:17" hidden="1" x14ac:dyDescent="0.35">
      <c r="A288" s="4" t="s">
        <v>164</v>
      </c>
      <c r="B288" s="5" t="s">
        <v>174</v>
      </c>
      <c r="C288" s="5" t="s">
        <v>7</v>
      </c>
      <c r="D288" s="5" t="s">
        <v>19</v>
      </c>
      <c r="E288" s="4">
        <v>22</v>
      </c>
      <c r="F288" s="4" t="s">
        <v>19</v>
      </c>
      <c r="G288" s="4" t="s">
        <v>189</v>
      </c>
      <c r="H288" s="4"/>
      <c r="I288" s="4" t="s">
        <v>19</v>
      </c>
      <c r="J288" s="4" t="s">
        <v>189</v>
      </c>
      <c r="K288" s="4"/>
      <c r="L288" s="4" t="s">
        <v>19</v>
      </c>
      <c r="M288" s="4" t="s">
        <v>189</v>
      </c>
      <c r="N288" s="4"/>
      <c r="O288" s="4" t="s">
        <v>19</v>
      </c>
      <c r="P288" s="4" t="s">
        <v>187</v>
      </c>
      <c r="Q288" s="4"/>
    </row>
    <row r="289" spans="1:17" hidden="1" x14ac:dyDescent="0.35">
      <c r="A289" s="4" t="s">
        <v>164</v>
      </c>
      <c r="B289" s="5" t="s">
        <v>157</v>
      </c>
      <c r="C289" s="5" t="s">
        <v>7</v>
      </c>
      <c r="D289" s="5" t="s">
        <v>19</v>
      </c>
      <c r="E289" s="4">
        <v>24</v>
      </c>
      <c r="F289" s="4" t="s">
        <v>19</v>
      </c>
      <c r="G289" s="4" t="s">
        <v>189</v>
      </c>
      <c r="H289" s="4"/>
      <c r="I289" s="4" t="s">
        <v>19</v>
      </c>
      <c r="J289" s="4" t="s">
        <v>189</v>
      </c>
      <c r="K289" s="4"/>
      <c r="L289" s="4" t="s">
        <v>19</v>
      </c>
      <c r="M289" s="4" t="s">
        <v>189</v>
      </c>
      <c r="N289" s="4"/>
      <c r="O289" s="4" t="s">
        <v>19</v>
      </c>
      <c r="P289" s="4" t="s">
        <v>189</v>
      </c>
      <c r="Q289" s="4"/>
    </row>
    <row r="290" spans="1:17" hidden="1" x14ac:dyDescent="0.35">
      <c r="A290" s="4" t="s">
        <v>164</v>
      </c>
      <c r="B290" s="5" t="s">
        <v>175</v>
      </c>
      <c r="C290" s="5" t="s">
        <v>7</v>
      </c>
      <c r="D290" s="5" t="s">
        <v>19</v>
      </c>
      <c r="E290" s="4">
        <v>3</v>
      </c>
      <c r="F290" s="4" t="s">
        <v>19</v>
      </c>
      <c r="G290" s="4" t="s">
        <v>189</v>
      </c>
      <c r="H290" s="4"/>
      <c r="I290" s="4" t="s">
        <v>19</v>
      </c>
      <c r="J290" s="4" t="s">
        <v>189</v>
      </c>
      <c r="K290" s="4"/>
      <c r="L290" s="4" t="s">
        <v>19</v>
      </c>
      <c r="M290" s="4" t="s">
        <v>189</v>
      </c>
      <c r="N290" s="4"/>
      <c r="O290" s="4" t="s">
        <v>19</v>
      </c>
      <c r="P290" s="4" t="s">
        <v>189</v>
      </c>
      <c r="Q290" s="4"/>
    </row>
    <row r="291" spans="1:17" hidden="1" x14ac:dyDescent="0.35">
      <c r="A291" s="4" t="s">
        <v>164</v>
      </c>
      <c r="B291" s="5" t="s">
        <v>176</v>
      </c>
      <c r="C291" s="5" t="s">
        <v>14</v>
      </c>
      <c r="D291" s="5" t="s">
        <v>13</v>
      </c>
      <c r="E291" s="4">
        <v>14</v>
      </c>
      <c r="F291" s="4" t="s">
        <v>188</v>
      </c>
      <c r="G291" s="4" t="s">
        <v>188</v>
      </c>
      <c r="H291" s="4"/>
      <c r="I291" s="4" t="s">
        <v>188</v>
      </c>
      <c r="J291" s="4" t="s">
        <v>188</v>
      </c>
      <c r="K291" s="4"/>
      <c r="L291" s="4" t="s">
        <v>188</v>
      </c>
      <c r="M291" s="4" t="s">
        <v>188</v>
      </c>
      <c r="N291" s="4"/>
      <c r="O291" s="4" t="s">
        <v>188</v>
      </c>
      <c r="P291" s="4" t="s">
        <v>188</v>
      </c>
      <c r="Q291" s="4"/>
    </row>
    <row r="292" spans="1:17" hidden="1" x14ac:dyDescent="0.35">
      <c r="A292" s="4" t="s">
        <v>164</v>
      </c>
      <c r="B292" s="5" t="s">
        <v>176</v>
      </c>
      <c r="C292" s="5" t="s">
        <v>15</v>
      </c>
      <c r="D292" s="5" t="s">
        <v>13</v>
      </c>
      <c r="E292" s="4">
        <v>1</v>
      </c>
      <c r="F292" s="4" t="s">
        <v>188</v>
      </c>
      <c r="G292" s="4" t="s">
        <v>188</v>
      </c>
      <c r="H292" s="4"/>
      <c r="I292" s="4" t="s">
        <v>188</v>
      </c>
      <c r="J292" s="4" t="s">
        <v>188</v>
      </c>
      <c r="K292" s="4"/>
      <c r="L292" s="4" t="s">
        <v>188</v>
      </c>
      <c r="M292" s="4" t="s">
        <v>188</v>
      </c>
      <c r="N292" s="4"/>
      <c r="O292" s="4" t="s">
        <v>188</v>
      </c>
      <c r="P292" s="4" t="s">
        <v>188</v>
      </c>
      <c r="Q292" s="4"/>
    </row>
    <row r="293" spans="1:17" hidden="1" x14ac:dyDescent="0.35">
      <c r="A293" s="4" t="s">
        <v>164</v>
      </c>
      <c r="B293" s="5" t="s">
        <v>177</v>
      </c>
      <c r="C293" s="5" t="s">
        <v>17</v>
      </c>
      <c r="D293" s="5" t="s">
        <v>13</v>
      </c>
      <c r="E293" s="4">
        <v>20</v>
      </c>
      <c r="F293" s="4" t="s">
        <v>188</v>
      </c>
      <c r="G293" s="4" t="s">
        <v>188</v>
      </c>
      <c r="H293" s="4"/>
      <c r="I293" s="4" t="s">
        <v>188</v>
      </c>
      <c r="J293" s="4" t="s">
        <v>188</v>
      </c>
      <c r="K293" s="4"/>
      <c r="L293" s="4" t="s">
        <v>188</v>
      </c>
      <c r="M293" s="4" t="s">
        <v>188</v>
      </c>
      <c r="N293" s="4"/>
      <c r="O293" s="4" t="s">
        <v>188</v>
      </c>
      <c r="P293" s="4" t="s">
        <v>188</v>
      </c>
      <c r="Q293" s="4"/>
    </row>
    <row r="294" spans="1:17" hidden="1" x14ac:dyDescent="0.35">
      <c r="A294" s="4" t="s">
        <v>164</v>
      </c>
      <c r="B294" s="5" t="s">
        <v>177</v>
      </c>
      <c r="C294" s="5" t="s">
        <v>15</v>
      </c>
      <c r="D294" s="5" t="s">
        <v>13</v>
      </c>
      <c r="E294" s="4">
        <v>2</v>
      </c>
      <c r="F294" s="4" t="s">
        <v>188</v>
      </c>
      <c r="G294" s="4" t="s">
        <v>188</v>
      </c>
      <c r="H294" s="4"/>
      <c r="I294" s="4" t="s">
        <v>188</v>
      </c>
      <c r="J294" s="4" t="s">
        <v>188</v>
      </c>
      <c r="K294" s="4"/>
      <c r="L294" s="4" t="s">
        <v>188</v>
      </c>
      <c r="M294" s="4" t="s">
        <v>188</v>
      </c>
      <c r="N294" s="4"/>
      <c r="O294" s="4" t="s">
        <v>188</v>
      </c>
      <c r="P294" s="4" t="s">
        <v>188</v>
      </c>
      <c r="Q294" s="4"/>
    </row>
    <row r="295" spans="1:17" hidden="1" x14ac:dyDescent="0.35">
      <c r="A295" s="4" t="s">
        <v>164</v>
      </c>
      <c r="B295" s="5" t="s">
        <v>178</v>
      </c>
      <c r="C295" s="5" t="s">
        <v>14</v>
      </c>
      <c r="D295" s="5" t="s">
        <v>13</v>
      </c>
      <c r="E295" s="4">
        <v>8</v>
      </c>
      <c r="F295" s="4" t="s">
        <v>188</v>
      </c>
      <c r="G295" s="4" t="s">
        <v>188</v>
      </c>
      <c r="H295" s="4"/>
      <c r="I295" s="4" t="s">
        <v>188</v>
      </c>
      <c r="J295" s="4" t="s">
        <v>188</v>
      </c>
      <c r="K295" s="4"/>
      <c r="L295" s="4" t="s">
        <v>188</v>
      </c>
      <c r="M295" s="4" t="s">
        <v>188</v>
      </c>
      <c r="N295" s="4"/>
      <c r="O295" s="4" t="s">
        <v>188</v>
      </c>
      <c r="P295" s="4" t="s">
        <v>188</v>
      </c>
      <c r="Q295" s="4"/>
    </row>
    <row r="296" spans="1:17" hidden="1" x14ac:dyDescent="0.35">
      <c r="A296" s="4" t="s">
        <v>164</v>
      </c>
      <c r="B296" s="5" t="s">
        <v>179</v>
      </c>
      <c r="C296" s="5" t="s">
        <v>14</v>
      </c>
      <c r="D296" s="5" t="s">
        <v>13</v>
      </c>
      <c r="E296" s="4">
        <v>8</v>
      </c>
      <c r="F296" s="4" t="s">
        <v>188</v>
      </c>
      <c r="G296" s="4" t="s">
        <v>188</v>
      </c>
      <c r="H296" s="4"/>
      <c r="I296" s="4" t="s">
        <v>188</v>
      </c>
      <c r="J296" s="4" t="s">
        <v>188</v>
      </c>
      <c r="K296" s="4"/>
      <c r="L296" s="4" t="s">
        <v>188</v>
      </c>
      <c r="M296" s="4" t="s">
        <v>188</v>
      </c>
      <c r="N296" s="4"/>
      <c r="O296" s="4" t="s">
        <v>188</v>
      </c>
      <c r="P296" s="4" t="s">
        <v>188</v>
      </c>
      <c r="Q296" s="4"/>
    </row>
    <row r="297" spans="1:17" hidden="1" x14ac:dyDescent="0.35">
      <c r="A297" s="4" t="s">
        <v>164</v>
      </c>
      <c r="B297" s="5" t="s">
        <v>180</v>
      </c>
      <c r="C297" s="5" t="s">
        <v>7</v>
      </c>
      <c r="D297" s="5" t="s">
        <v>83</v>
      </c>
      <c r="E297" s="4">
        <v>16</v>
      </c>
      <c r="F297" s="4" t="s">
        <v>188</v>
      </c>
      <c r="G297" s="4" t="s">
        <v>188</v>
      </c>
      <c r="H297" s="4"/>
      <c r="I297" s="4" t="s">
        <v>188</v>
      </c>
      <c r="J297" s="4" t="s">
        <v>188</v>
      </c>
      <c r="K297" s="4"/>
      <c r="L297" s="4" t="s">
        <v>19</v>
      </c>
      <c r="M297" s="4" t="s">
        <v>187</v>
      </c>
      <c r="N297" s="4"/>
      <c r="O297" s="4" t="s">
        <v>19</v>
      </c>
      <c r="P297" s="4" t="s">
        <v>187</v>
      </c>
      <c r="Q297" s="4"/>
    </row>
    <row r="298" spans="1:17" hidden="1" x14ac:dyDescent="0.35">
      <c r="A298" s="4" t="s">
        <v>164</v>
      </c>
      <c r="B298" s="5" t="s">
        <v>181</v>
      </c>
      <c r="C298" s="5" t="s">
        <v>7</v>
      </c>
      <c r="D298" s="5" t="s">
        <v>83</v>
      </c>
      <c r="E298" s="4">
        <v>18</v>
      </c>
      <c r="F298" s="4" t="s">
        <v>19</v>
      </c>
      <c r="G298" s="4" t="s">
        <v>187</v>
      </c>
      <c r="H298" s="4">
        <v>-1</v>
      </c>
      <c r="I298" s="4" t="s">
        <v>19</v>
      </c>
      <c r="J298" s="4" t="s">
        <v>187</v>
      </c>
      <c r="K298" s="4">
        <v>-1</v>
      </c>
      <c r="L298" s="4" t="s">
        <v>19</v>
      </c>
      <c r="M298" s="4" t="s">
        <v>187</v>
      </c>
      <c r="N298" s="4">
        <v>-1</v>
      </c>
      <c r="O298" s="4" t="s">
        <v>19</v>
      </c>
      <c r="P298" s="4" t="s">
        <v>187</v>
      </c>
      <c r="Q298" s="4">
        <v>-1</v>
      </c>
    </row>
    <row r="299" spans="1:17" hidden="1" x14ac:dyDescent="0.35">
      <c r="A299" s="4" t="s">
        <v>164</v>
      </c>
      <c r="B299" s="5" t="s">
        <v>182</v>
      </c>
      <c r="C299" s="5" t="s">
        <v>7</v>
      </c>
      <c r="D299" s="5" t="s">
        <v>83</v>
      </c>
      <c r="E299" s="4">
        <v>16</v>
      </c>
      <c r="F299" s="4" t="s">
        <v>188</v>
      </c>
      <c r="G299" s="4" t="s">
        <v>188</v>
      </c>
      <c r="H299" s="4"/>
      <c r="I299" s="4" t="s">
        <v>188</v>
      </c>
      <c r="J299" s="4" t="s">
        <v>188</v>
      </c>
      <c r="K299" s="4"/>
      <c r="L299" s="4" t="s">
        <v>188</v>
      </c>
      <c r="M299" s="4" t="s">
        <v>188</v>
      </c>
      <c r="N299" s="4"/>
      <c r="O299" s="4" t="s">
        <v>188</v>
      </c>
      <c r="P299" s="4" t="s">
        <v>188</v>
      </c>
      <c r="Q299" s="4"/>
    </row>
    <row r="300" spans="1:17" hidden="1" x14ac:dyDescent="0.35">
      <c r="A300" s="4" t="s">
        <v>164</v>
      </c>
      <c r="B300" s="5" t="s">
        <v>183</v>
      </c>
      <c r="C300" s="5" t="s">
        <v>7</v>
      </c>
      <c r="D300" s="5" t="s">
        <v>83</v>
      </c>
      <c r="E300" s="4">
        <v>16</v>
      </c>
      <c r="F300" s="4" t="s">
        <v>188</v>
      </c>
      <c r="G300" s="4" t="s">
        <v>188</v>
      </c>
      <c r="H300" s="4"/>
      <c r="I300" s="4" t="s">
        <v>188</v>
      </c>
      <c r="J300" s="4" t="s">
        <v>188</v>
      </c>
      <c r="K300" s="4"/>
      <c r="L300" s="4" t="s">
        <v>188</v>
      </c>
      <c r="M300" s="4" t="s">
        <v>188</v>
      </c>
      <c r="N300" s="4"/>
      <c r="O300" s="4" t="s">
        <v>188</v>
      </c>
      <c r="P300" s="4" t="s">
        <v>188</v>
      </c>
      <c r="Q300" s="4"/>
    </row>
    <row r="301" spans="1:17" hidden="1" x14ac:dyDescent="0.35">
      <c r="A301" s="4" t="s">
        <v>164</v>
      </c>
      <c r="B301" s="5" t="s">
        <v>184</v>
      </c>
      <c r="C301" s="5" t="s">
        <v>17</v>
      </c>
      <c r="D301" s="5" t="s">
        <v>13</v>
      </c>
      <c r="E301" s="4">
        <v>15</v>
      </c>
      <c r="F301" s="4" t="s">
        <v>188</v>
      </c>
      <c r="G301" s="4" t="s">
        <v>188</v>
      </c>
      <c r="H301" s="4"/>
      <c r="I301" s="4" t="s">
        <v>188</v>
      </c>
      <c r="J301" s="4" t="s">
        <v>188</v>
      </c>
      <c r="K301" s="4"/>
      <c r="L301" s="4" t="s">
        <v>188</v>
      </c>
      <c r="M301" s="4" t="s">
        <v>188</v>
      </c>
      <c r="N301" s="4"/>
      <c r="O301" s="4" t="s">
        <v>188</v>
      </c>
      <c r="P301" s="4" t="s">
        <v>188</v>
      </c>
      <c r="Q301" s="4"/>
    </row>
    <row r="302" spans="1:17" hidden="1" x14ac:dyDescent="0.35">
      <c r="A302" s="4" t="s">
        <v>164</v>
      </c>
      <c r="B302" s="5" t="s">
        <v>184</v>
      </c>
      <c r="C302" s="5" t="s">
        <v>15</v>
      </c>
      <c r="D302" s="5" t="s">
        <v>13</v>
      </c>
      <c r="E302" s="4">
        <v>1</v>
      </c>
      <c r="F302" s="4" t="s">
        <v>188</v>
      </c>
      <c r="G302" s="4" t="s">
        <v>188</v>
      </c>
      <c r="H302" s="4"/>
      <c r="I302" s="4" t="s">
        <v>188</v>
      </c>
      <c r="J302" s="4" t="s">
        <v>188</v>
      </c>
      <c r="K302" s="4"/>
      <c r="L302" s="4" t="s">
        <v>188</v>
      </c>
      <c r="M302" s="4" t="s">
        <v>188</v>
      </c>
      <c r="N302" s="4"/>
      <c r="O302" s="4" t="s">
        <v>188</v>
      </c>
      <c r="P302" s="4" t="s">
        <v>188</v>
      </c>
      <c r="Q302" s="4"/>
    </row>
    <row r="303" spans="1:17" hidden="1" x14ac:dyDescent="0.35">
      <c r="A303" s="4" t="s">
        <v>164</v>
      </c>
      <c r="B303" s="5" t="s">
        <v>185</v>
      </c>
      <c r="C303" s="5" t="s">
        <v>17</v>
      </c>
      <c r="D303" s="5" t="s">
        <v>13</v>
      </c>
      <c r="E303" s="4">
        <v>11</v>
      </c>
      <c r="F303" s="4" t="s">
        <v>188</v>
      </c>
      <c r="G303" s="4" t="s">
        <v>188</v>
      </c>
      <c r="H303" s="4"/>
      <c r="I303" s="4" t="s">
        <v>188</v>
      </c>
      <c r="J303" s="4" t="s">
        <v>188</v>
      </c>
      <c r="K303" s="4"/>
      <c r="L303" s="4" t="s">
        <v>188</v>
      </c>
      <c r="M303" s="4" t="s">
        <v>188</v>
      </c>
      <c r="N303" s="4"/>
      <c r="O303" s="4" t="s">
        <v>188</v>
      </c>
      <c r="P303" s="4" t="s">
        <v>188</v>
      </c>
      <c r="Q303" s="4"/>
    </row>
    <row r="304" spans="1:17" hidden="1" x14ac:dyDescent="0.35">
      <c r="A304" s="4" t="s">
        <v>164</v>
      </c>
      <c r="B304" s="5" t="s">
        <v>185</v>
      </c>
      <c r="C304" s="5" t="s">
        <v>15</v>
      </c>
      <c r="D304" s="5" t="s">
        <v>13</v>
      </c>
      <c r="E304" s="4">
        <v>1</v>
      </c>
      <c r="F304" s="4" t="s">
        <v>188</v>
      </c>
      <c r="G304" s="4" t="s">
        <v>188</v>
      </c>
      <c r="H304" s="4"/>
      <c r="I304" s="4" t="s">
        <v>188</v>
      </c>
      <c r="J304" s="4" t="s">
        <v>188</v>
      </c>
      <c r="K304" s="4"/>
      <c r="L304" s="4" t="s">
        <v>188</v>
      </c>
      <c r="M304" s="4" t="s">
        <v>188</v>
      </c>
      <c r="N304" s="4"/>
      <c r="O304" s="4" t="s">
        <v>188</v>
      </c>
      <c r="P304" s="4" t="s">
        <v>188</v>
      </c>
      <c r="Q304" s="4"/>
    </row>
    <row r="305" spans="1:17" hidden="1" x14ac:dyDescent="0.35">
      <c r="A305" s="4" t="s">
        <v>164</v>
      </c>
      <c r="B305" s="5" t="s">
        <v>117</v>
      </c>
      <c r="C305" s="5" t="s">
        <v>84</v>
      </c>
      <c r="D305" s="5" t="s">
        <v>19</v>
      </c>
      <c r="E305" s="4">
        <v>10</v>
      </c>
      <c r="F305" s="4" t="s">
        <v>188</v>
      </c>
      <c r="G305" s="4" t="s">
        <v>188</v>
      </c>
      <c r="H305" s="4"/>
      <c r="I305" s="4" t="s">
        <v>188</v>
      </c>
      <c r="J305" s="4" t="s">
        <v>188</v>
      </c>
      <c r="K305" s="4"/>
      <c r="L305" s="4" t="s">
        <v>188</v>
      </c>
      <c r="M305" s="4" t="s">
        <v>188</v>
      </c>
      <c r="N305" s="4"/>
      <c r="O305" s="4" t="s">
        <v>188</v>
      </c>
      <c r="P305" s="4" t="s">
        <v>188</v>
      </c>
      <c r="Q305" s="4"/>
    </row>
    <row r="306" spans="1:17" x14ac:dyDescent="0.35">
      <c r="A306" s="41"/>
      <c r="B306" s="42"/>
      <c r="C306" s="42"/>
      <c r="D306" s="42"/>
      <c r="E306" s="43">
        <f>SUBTOTAL(109,Data[Beds])</f>
        <v>12</v>
      </c>
      <c r="F306" s="43"/>
      <c r="G306" s="43"/>
      <c r="H306" s="46">
        <f>Data[[#Totals],[Beds]]+SUBTOTAL(109,Data[Baseline Bed Adjust])</f>
        <v>12</v>
      </c>
      <c r="I306" s="43"/>
      <c r="J306" s="43"/>
      <c r="K306" s="47">
        <f>Data[[#Totals],[Beds]]+SUBTOTAL(109,Data[Ramp Up Bed Adjust])</f>
        <v>12</v>
      </c>
      <c r="L306" s="43"/>
      <c r="M306" s="43"/>
      <c r="N306" s="48">
        <f>Data[[#Totals],[Beds]]+SUBTOTAL(109,Data[Surge Bed Adjust])</f>
        <v>12</v>
      </c>
      <c r="O306" s="43"/>
      <c r="P306" s="43"/>
      <c r="Q306" s="49">
        <f>Data[[#Totals],[Beds]]+SUBTOTAL(109,Data[Next Up Bed Adjust])</f>
        <v>12</v>
      </c>
    </row>
  </sheetData>
  <sheetProtection insertRows="0" autoFilter="0"/>
  <protectedRanges>
    <protectedRange algorithmName="SHA-512" hashValue="6+J+847yut7cewXmpdD5Af2iegbedYYOZO9qEUwnPCowezApeid1BOT4p52/BpSiTDXbOyNGNmaRZHnjjCiwRg==" saltValue="LJ7AES8NNy6ZzS2DZS2X+A==" spinCount="100000" sqref="A120:B120 D120:Q120 A121:Q305 A30:Q119" name="ScnIn"/>
    <protectedRange algorithmName="SHA-512" hashValue="8jzfTV441avlKGOxIdhnWzPm+/lvD8Hm2bga9HeirfLcT1Rv2PZT6aXvVa71Yggj1iXzxsrCqlHcrGjBduigLA==" saltValue="+6QGc5Ah0nmHBOD3Y9VySw==" spinCount="100000" sqref="C120" name="MaxIn"/>
  </protectedRanges>
  <conditionalFormatting sqref="I157:J159 L157:M159 O157:P159 I199:J206 L199:M206 O199:P206 O185:P196 L185:M196 I185:J196 O208:P209 L208:M209 I208:J209 I235:J237 L235:M238 O235:P238 I240:J253 I238:I239 L240:M253 L239 O240:P253 O239 O255:P263 L255:M263 I255:J263 I267:J267 I269:J281 L267:M267 L269:M281 O267:P267 O269:P281 I161:J183 L161:M183 O161:P183 I52:J52 L52:M52 O52:P52 O54:P54 L54:M54 I54:J54 I225:J232 L225:M232 O225:P232 O305:P305 L305:M305 I305:J305 O283:P303 L283:M303 I283:J303 I211:J223 L211:M223 O211:P223 O30:P50 L30:M50 I30:J50 I143:J155 L143:M155 O143:P155 I121:J141 L121:M141 O121:P141 O56:P119 L56:M119 I56:J119">
    <cfRule type="cellIs" dxfId="101" priority="150" operator="notEqual">
      <formula>F30</formula>
    </cfRule>
  </conditionalFormatting>
  <conditionalFormatting sqref="I184:J184 L184:M184 O184:P184">
    <cfRule type="cellIs" dxfId="100" priority="121" operator="notEqual">
      <formula>F184</formula>
    </cfRule>
  </conditionalFormatting>
  <conditionalFormatting sqref="O207:P207 L207:M207 I207:J207">
    <cfRule type="cellIs" dxfId="99" priority="118" operator="notEqual">
      <formula>F207</formula>
    </cfRule>
  </conditionalFormatting>
  <conditionalFormatting sqref="O234:P234 L234:M234 I234:J234">
    <cfRule type="cellIs" dxfId="98" priority="115" operator="notEqual">
      <formula>F234</formula>
    </cfRule>
  </conditionalFormatting>
  <conditionalFormatting sqref="I254:J254 L254:M254 O254:P254">
    <cfRule type="cellIs" dxfId="97" priority="100" operator="notEqual">
      <formula>F254</formula>
    </cfRule>
  </conditionalFormatting>
  <conditionalFormatting sqref="O51:P51 L51:M51 I51:J51">
    <cfRule type="cellIs" dxfId="96" priority="49" operator="notEqual">
      <formula>F51</formula>
    </cfRule>
  </conditionalFormatting>
  <conditionalFormatting sqref="I53:J53 L53:M53 O53:P53">
    <cfRule type="cellIs" dxfId="95" priority="46" operator="notEqual">
      <formula>F53</formula>
    </cfRule>
  </conditionalFormatting>
  <conditionalFormatting sqref="O55:P55 L55:M55 I55:J55">
    <cfRule type="cellIs" dxfId="94" priority="43" operator="notEqual">
      <formula>F55</formula>
    </cfRule>
  </conditionalFormatting>
  <conditionalFormatting sqref="O224:P224 L224:M224 I224:J224">
    <cfRule type="cellIs" dxfId="93" priority="37" operator="notEqual">
      <formula>F224</formula>
    </cfRule>
  </conditionalFormatting>
  <conditionalFormatting sqref="O304:P304 L304:M304 I304:J304">
    <cfRule type="cellIs" dxfId="92" priority="34" operator="notEqual">
      <formula>F304</formula>
    </cfRule>
  </conditionalFormatting>
  <conditionalFormatting sqref="I282:J282 L282:M282 O282:P282">
    <cfRule type="cellIs" dxfId="91" priority="31" operator="notEqual">
      <formula>F282</formula>
    </cfRule>
  </conditionalFormatting>
  <conditionalFormatting sqref="O210:P210 L210:M210 I210:J210">
    <cfRule type="cellIs" dxfId="90" priority="28" operator="notEqual">
      <formula>F210</formula>
    </cfRule>
  </conditionalFormatting>
  <conditionalFormatting sqref="I142:J142 L142:M142 O142:P142">
    <cfRule type="cellIs" dxfId="89" priority="19" operator="notEqual">
      <formula>F142</formula>
    </cfRule>
  </conditionalFormatting>
  <conditionalFormatting sqref="I233:J233 L233:M233 O233:P233">
    <cfRule type="cellIs" dxfId="88" priority="7" operator="notEqual">
      <formula>F233</formula>
    </cfRule>
  </conditionalFormatting>
  <conditionalFormatting sqref="P239">
    <cfRule type="cellIs" dxfId="87" priority="5" operator="notEqual">
      <formula>M239</formula>
    </cfRule>
  </conditionalFormatting>
  <conditionalFormatting sqref="O120">
    <cfRule type="cellIs" dxfId="86" priority="4" operator="notEqual">
      <formula>L120</formula>
    </cfRule>
  </conditionalFormatting>
  <conditionalFormatting sqref="P120">
    <cfRule type="cellIs" dxfId="85" priority="3" operator="notEqual">
      <formula>M120</formula>
    </cfRule>
  </conditionalFormatting>
  <conditionalFormatting sqref="P156">
    <cfRule type="cellIs" dxfId="84" priority="2" operator="notEqual">
      <formula>M156</formula>
    </cfRule>
  </conditionalFormatting>
  <conditionalFormatting sqref="O156">
    <cfRule type="cellIs" dxfId="83" priority="1" operator="notEqual">
      <formula>L156</formula>
    </cfRule>
  </conditionalFormatting>
  <dataValidations count="2">
    <dataValidation type="list" allowBlank="1" showInputMessage="1" showErrorMessage="1" sqref="O30:O305 L30:L305 F30:F305 I30:I305" xr:uid="{00000000-0002-0000-0100-000000000000}">
      <formula1>"ICU,Acute,Available"</formula1>
    </dataValidation>
    <dataValidation type="list" allowBlank="1" showInputMessage="1" showErrorMessage="1" sqref="P30:P305 J30:J305 G30:G305 M30:M305" xr:uid="{00000000-0002-0000-0100-000001000000}">
      <formula1>"COVID,Non,Available"</formula1>
    </dataValidation>
  </dataValidations>
  <printOptions horizontalCentered="1"/>
  <pageMargins left="0.2" right="0.2" top="0.25" bottom="0.25" header="0" footer="0"/>
  <pageSetup paperSize="5" scale="66" orientation="landscape" r:id="rId1"/>
  <headerFooter>
    <oddHeader xml:space="preserve">&amp;C </oddHeader>
    <oddFooter xml:space="preserve">&amp;C </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151" id="{B5F58D69-CB0E-4DC0-AF29-E8047E3D3B4D}">
            <xm:f>SUMIFS(Max!$J$6:$J$500,Max!$B$6:$B$500,$A30,Max!$C$6:$C$500,$B30,Max!$D$6:$D$500,$C30,Max!$E$6:$E$500,$D30,Max!$F$6:$F$500,$E30)=1</xm:f>
            <x14:dxf>
              <font>
                <b/>
                <i val="0"/>
                <color rgb="FFD60000"/>
              </font>
              <fill>
                <patternFill patternType="none">
                  <bgColor auto="1"/>
                </patternFill>
              </fill>
            </x14:dxf>
          </x14:cfRule>
          <xm:sqref>J30:J305 M30:M305 G30:G305 P30:P305</xm:sqref>
        </x14:conditionalFormatting>
        <x14:conditionalFormatting xmlns:xm="http://schemas.microsoft.com/office/excel/2006/main">
          <x14:cfRule type="expression" priority="156" id="{56A73430-FB6A-461C-8CAF-E4A7761BFF3E}">
            <xm:f>SUMIFS(Max!$J$6:$J$500,Max!$B$6:$B$500,$A30,Max!$C$6:$C$500,$B30,Max!$D$6:$D$500,$C30,Max!$E$6:$E$500,$D30,Max!$F$6:$F$500,$E30)=2</xm:f>
            <x14:dxf>
              <font>
                <b/>
                <i val="0"/>
                <color rgb="FFA67B02"/>
              </font>
            </x14:dxf>
          </x14:cfRule>
          <xm:sqref>G30:G164 J30:J164 M30:M164 P30:P164</xm:sqref>
        </x14:conditionalFormatting>
      </x14:conditionalFormattings>
    </ex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01"/>
  <sheetViews>
    <sheetView workbookViewId="0"/>
  </sheetViews>
  <sheetFormatPr defaultRowHeight="13.15" x14ac:dyDescent="0.35"/>
  <cols>
    <col min="1" max="4" width="10.73046875" customWidth="1"/>
    <col min="5" max="8" width="25.73046875" customWidth="1"/>
    <col min="9" max="10" width="10.73046875" customWidth="1"/>
    <col min="12" max="12" width="10.73046875" customWidth="1"/>
    <col min="14" max="14" width="10.73046875" customWidth="1"/>
    <col min="16" max="16" width="10.73046875" customWidth="1"/>
  </cols>
  <sheetData>
    <row r="1" spans="1:16" x14ac:dyDescent="0.35">
      <c r="A1" s="12" t="s">
        <v>203</v>
      </c>
      <c r="B1" s="12" t="s">
        <v>186</v>
      </c>
      <c r="C1" s="12" t="s">
        <v>207</v>
      </c>
      <c r="D1" s="12" t="s">
        <v>208</v>
      </c>
      <c r="E1" s="12" t="s">
        <v>209</v>
      </c>
      <c r="F1" s="12" t="s">
        <v>210</v>
      </c>
      <c r="G1" s="12" t="s">
        <v>211</v>
      </c>
      <c r="H1" s="12" t="s">
        <v>212</v>
      </c>
      <c r="I1" s="12" t="s">
        <v>213</v>
      </c>
      <c r="J1" s="12" t="s">
        <v>238</v>
      </c>
      <c r="L1" t="s">
        <v>203</v>
      </c>
      <c r="N1" s="50" t="s">
        <v>118</v>
      </c>
      <c r="P1" s="32" t="s">
        <v>118</v>
      </c>
    </row>
    <row r="2" spans="1:16" x14ac:dyDescent="0.35">
      <c r="A2" s="11" t="s">
        <v>4</v>
      </c>
      <c r="B2" s="11">
        <f>IFERROR(MATCH(Summary[[#This Row],[Facility]],FOut,0),0)</f>
        <v>0</v>
      </c>
      <c r="C2" s="11" t="s">
        <v>19</v>
      </c>
      <c r="D2" s="11" t="s">
        <v>187</v>
      </c>
      <c r="E2"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66</v>
      </c>
      <c r="F2"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107</v>
      </c>
      <c r="G2"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185</v>
      </c>
      <c r="H2"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430</v>
      </c>
      <c r="I2"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310</v>
      </c>
      <c r="J2" s="11">
        <f>IFERROR(MATCH(Summary[[#This Row],[Facility]],F2Out,0),0)</f>
        <v>3</v>
      </c>
      <c r="L2" t="s">
        <v>4</v>
      </c>
      <c r="P2" s="32" t="s">
        <v>88</v>
      </c>
    </row>
    <row r="3" spans="1:16" x14ac:dyDescent="0.35">
      <c r="A3" s="11" t="s">
        <v>4</v>
      </c>
      <c r="B3" s="11">
        <f>IFERROR(MATCH(Summary[[#This Row],[Facility]],FOut,0),0)</f>
        <v>0</v>
      </c>
      <c r="C3" s="11" t="s">
        <v>19</v>
      </c>
      <c r="D3" s="11" t="s">
        <v>189</v>
      </c>
      <c r="E3"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791</v>
      </c>
      <c r="F3"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745</v>
      </c>
      <c r="G3"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675</v>
      </c>
      <c r="H3"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428</v>
      </c>
      <c r="I3"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361</v>
      </c>
      <c r="J3" s="11">
        <f>IFERROR(MATCH(Summary[[#This Row],[Facility]],F2Out,0),0)</f>
        <v>3</v>
      </c>
      <c r="L3" t="s">
        <v>88</v>
      </c>
      <c r="P3" s="32" t="s">
        <v>4</v>
      </c>
    </row>
    <row r="4" spans="1:16" x14ac:dyDescent="0.35">
      <c r="A4" s="11" t="s">
        <v>4</v>
      </c>
      <c r="B4" s="11">
        <f>IFERROR(MATCH(Summary[[#This Row],[Facility]],FOut,0),0)</f>
        <v>0</v>
      </c>
      <c r="C4" s="11" t="s">
        <v>23</v>
      </c>
      <c r="D4" s="11" t="s">
        <v>187</v>
      </c>
      <c r="E4"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50</v>
      </c>
      <c r="F4"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66</v>
      </c>
      <c r="G4"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148</v>
      </c>
      <c r="H4"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289</v>
      </c>
      <c r="I4"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162</v>
      </c>
      <c r="J4" s="11">
        <f>IFERROR(MATCH(Summary[[#This Row],[Facility]],F2Out,0),0)</f>
        <v>3</v>
      </c>
      <c r="L4" t="s">
        <v>118</v>
      </c>
      <c r="P4" s="32" t="s">
        <v>164</v>
      </c>
    </row>
    <row r="5" spans="1:16" x14ac:dyDescent="0.35">
      <c r="A5" s="11" t="s">
        <v>4</v>
      </c>
      <c r="B5" s="11">
        <f>IFERROR(MATCH(Summary[[#This Row],[Facility]],FOut,0),0)</f>
        <v>0</v>
      </c>
      <c r="C5" s="11" t="s">
        <v>23</v>
      </c>
      <c r="D5" s="11" t="s">
        <v>189</v>
      </c>
      <c r="E5"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155</v>
      </c>
      <c r="F5"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139</v>
      </c>
      <c r="G5"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110</v>
      </c>
      <c r="H5"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82</v>
      </c>
      <c r="I5"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86</v>
      </c>
      <c r="J5" s="11">
        <f>IFERROR(MATCH(Summary[[#This Row],[Facility]],F2Out,0),0)</f>
        <v>3</v>
      </c>
      <c r="L5" t="s">
        <v>136</v>
      </c>
      <c r="P5" s="32" t="s">
        <v>136</v>
      </c>
    </row>
    <row r="6" spans="1:16" x14ac:dyDescent="0.35">
      <c r="A6" s="11" t="s">
        <v>4</v>
      </c>
      <c r="B6" s="11">
        <f>IFERROR(MATCH(Summary[[#This Row],[Facility]],FOut,0),0)</f>
        <v>0</v>
      </c>
      <c r="C6" s="11" t="s">
        <v>188</v>
      </c>
      <c r="D6" s="11" t="s">
        <v>188</v>
      </c>
      <c r="E6"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292</v>
      </c>
      <c r="F6"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292</v>
      </c>
      <c r="G6"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231</v>
      </c>
      <c r="H6"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118</v>
      </c>
      <c r="I6"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118</v>
      </c>
      <c r="J6" s="11">
        <f>IFERROR(MATCH(Summary[[#This Row],[Facility]],F2Out,0),0)</f>
        <v>3</v>
      </c>
      <c r="L6" t="s">
        <v>164</v>
      </c>
    </row>
    <row r="7" spans="1:16" x14ac:dyDescent="0.35">
      <c r="A7" s="11" t="s">
        <v>4</v>
      </c>
      <c r="B7" s="11">
        <f>IFERROR(MATCH(Summary[[#This Row],[Facility]],FOut,0),0)</f>
        <v>0</v>
      </c>
      <c r="C7" s="11" t="s">
        <v>19</v>
      </c>
      <c r="D7" s="11" t="s">
        <v>245</v>
      </c>
      <c r="E7"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0</v>
      </c>
      <c r="F7"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0</v>
      </c>
      <c r="G7"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0</v>
      </c>
      <c r="H7"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0</v>
      </c>
      <c r="I7"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138</v>
      </c>
      <c r="J7" s="4">
        <f>IFERROR(MATCH(Summary[[#This Row],[Facility]],F2Out,0),0)</f>
        <v>3</v>
      </c>
    </row>
    <row r="8" spans="1:16" x14ac:dyDescent="0.35">
      <c r="A8" s="11" t="s">
        <v>4</v>
      </c>
      <c r="B8" s="11">
        <f>IFERROR(MATCH(Summary[[#This Row],[Facility]],FOut,0),0)</f>
        <v>0</v>
      </c>
      <c r="C8" s="11" t="s">
        <v>23</v>
      </c>
      <c r="D8" s="11" t="s">
        <v>245</v>
      </c>
      <c r="E8"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0</v>
      </c>
      <c r="F8"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0</v>
      </c>
      <c r="G8"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0</v>
      </c>
      <c r="H8"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0</v>
      </c>
      <c r="I8"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127</v>
      </c>
      <c r="J8" s="4">
        <f>IFERROR(MATCH(Summary[[#This Row],[Facility]],F2Out,0),0)</f>
        <v>3</v>
      </c>
    </row>
    <row r="9" spans="1:16" x14ac:dyDescent="0.35">
      <c r="A9" s="11" t="s">
        <v>88</v>
      </c>
      <c r="B9" s="11">
        <f>IFERROR(MATCH(Summary[[#This Row],[Facility]],FOut,0),0)</f>
        <v>0</v>
      </c>
      <c r="C9" s="11" t="s">
        <v>19</v>
      </c>
      <c r="D9" s="11" t="s">
        <v>187</v>
      </c>
      <c r="E9"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30</v>
      </c>
      <c r="F9"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60</v>
      </c>
      <c r="G9"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60</v>
      </c>
      <c r="H9"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60</v>
      </c>
      <c r="I9"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60</v>
      </c>
      <c r="J9" s="11">
        <f>IFERROR(MATCH(Summary[[#This Row],[Facility]],F2Out,0),0)</f>
        <v>2</v>
      </c>
    </row>
    <row r="10" spans="1:16" x14ac:dyDescent="0.35">
      <c r="A10" s="11" t="s">
        <v>88</v>
      </c>
      <c r="B10" s="11">
        <f>IFERROR(MATCH(Summary[[#This Row],[Facility]],FOut,0),0)</f>
        <v>0</v>
      </c>
      <c r="C10" s="11" t="s">
        <v>19</v>
      </c>
      <c r="D10" s="11" t="s">
        <v>189</v>
      </c>
      <c r="E10"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285</v>
      </c>
      <c r="F10"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249</v>
      </c>
      <c r="G10"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249</v>
      </c>
      <c r="H10"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249</v>
      </c>
      <c r="I10"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249</v>
      </c>
      <c r="J10" s="11">
        <f>IFERROR(MATCH(Summary[[#This Row],[Facility]],F2Out,0),0)</f>
        <v>2</v>
      </c>
    </row>
    <row r="11" spans="1:16" x14ac:dyDescent="0.35">
      <c r="A11" s="11" t="s">
        <v>88</v>
      </c>
      <c r="B11" s="11">
        <f>IFERROR(MATCH(Summary[[#This Row],[Facility]],FOut,0),0)</f>
        <v>0</v>
      </c>
      <c r="C11" s="11" t="s">
        <v>23</v>
      </c>
      <c r="D11" s="11" t="s">
        <v>187</v>
      </c>
      <c r="E11"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12</v>
      </c>
      <c r="F11"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12</v>
      </c>
      <c r="G11"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12</v>
      </c>
      <c r="H11"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12</v>
      </c>
      <c r="I11"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34</v>
      </c>
      <c r="J11" s="11">
        <f>IFERROR(MATCH(Summary[[#This Row],[Facility]],F2Out,0),0)</f>
        <v>2</v>
      </c>
    </row>
    <row r="12" spans="1:16" x14ac:dyDescent="0.35">
      <c r="A12" s="11" t="s">
        <v>88</v>
      </c>
      <c r="B12" s="11">
        <f>IFERROR(MATCH(Summary[[#This Row],[Facility]],FOut,0),0)</f>
        <v>0</v>
      </c>
      <c r="C12" s="11" t="s">
        <v>23</v>
      </c>
      <c r="D12" s="11" t="s">
        <v>189</v>
      </c>
      <c r="E12"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40</v>
      </c>
      <c r="F12"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40</v>
      </c>
      <c r="G12"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40</v>
      </c>
      <c r="H12"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40</v>
      </c>
      <c r="I12"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38</v>
      </c>
      <c r="J12" s="11">
        <f>IFERROR(MATCH(Summary[[#This Row],[Facility]],F2Out,0),0)</f>
        <v>2</v>
      </c>
    </row>
    <row r="13" spans="1:16" x14ac:dyDescent="0.35">
      <c r="A13" s="11" t="s">
        <v>88</v>
      </c>
      <c r="B13" s="11">
        <f>IFERROR(MATCH(Summary[[#This Row],[Facility]],FOut,0),0)</f>
        <v>0</v>
      </c>
      <c r="C13" s="11" t="s">
        <v>188</v>
      </c>
      <c r="D13" s="11" t="s">
        <v>188</v>
      </c>
      <c r="E13"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140</v>
      </c>
      <c r="F13"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140</v>
      </c>
      <c r="G13"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140</v>
      </c>
      <c r="H13"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140</v>
      </c>
      <c r="I13"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120</v>
      </c>
      <c r="J13" s="11">
        <f>IFERROR(MATCH(Summary[[#This Row],[Facility]],F2Out,0),0)</f>
        <v>2</v>
      </c>
    </row>
    <row r="14" spans="1:16" x14ac:dyDescent="0.35">
      <c r="A14" s="11" t="s">
        <v>88</v>
      </c>
      <c r="B14" s="11">
        <f>IFERROR(MATCH(Summary[[#This Row],[Facility]],FOut,0),0)</f>
        <v>0</v>
      </c>
      <c r="C14" s="11" t="s">
        <v>19</v>
      </c>
      <c r="D14" s="11" t="s">
        <v>245</v>
      </c>
      <c r="E14"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0</v>
      </c>
      <c r="F14"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0</v>
      </c>
      <c r="G14"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0</v>
      </c>
      <c r="H14"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0</v>
      </c>
      <c r="I14"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0</v>
      </c>
      <c r="J14" s="4">
        <f>IFERROR(MATCH(Summary[[#This Row],[Facility]],F2Out,0),0)</f>
        <v>2</v>
      </c>
    </row>
    <row r="15" spans="1:16" x14ac:dyDescent="0.35">
      <c r="A15" s="11" t="s">
        <v>88</v>
      </c>
      <c r="B15" s="11">
        <f>IFERROR(MATCH(Summary[[#This Row],[Facility]],FOut,0),0)</f>
        <v>0</v>
      </c>
      <c r="C15" s="11" t="s">
        <v>23</v>
      </c>
      <c r="D15" s="11" t="s">
        <v>245</v>
      </c>
      <c r="E15"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0</v>
      </c>
      <c r="F15"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0</v>
      </c>
      <c r="G15"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0</v>
      </c>
      <c r="H15"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0</v>
      </c>
      <c r="I15"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0</v>
      </c>
      <c r="J15" s="4">
        <f>IFERROR(MATCH(Summary[[#This Row],[Facility]],F2Out,0),0)</f>
        <v>2</v>
      </c>
    </row>
    <row r="16" spans="1:16" x14ac:dyDescent="0.35">
      <c r="A16" s="11" t="s">
        <v>118</v>
      </c>
      <c r="B16" s="11">
        <f>IFERROR(MATCH(Summary[[#This Row],[Facility]],FOut,0),0)</f>
        <v>1</v>
      </c>
      <c r="C16" s="11" t="s">
        <v>19</v>
      </c>
      <c r="D16" s="11" t="s">
        <v>187</v>
      </c>
      <c r="E16"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59</v>
      </c>
      <c r="F16"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89</v>
      </c>
      <c r="G16"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119</v>
      </c>
      <c r="H16"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139</v>
      </c>
      <c r="I16"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143</v>
      </c>
      <c r="J16" s="11">
        <f>IFERROR(MATCH(Summary[[#This Row],[Facility]],F2Out,0),0)</f>
        <v>1</v>
      </c>
    </row>
    <row r="17" spans="1:10" x14ac:dyDescent="0.35">
      <c r="A17" s="11" t="s">
        <v>118</v>
      </c>
      <c r="B17" s="11">
        <f>IFERROR(MATCH(Summary[[#This Row],[Facility]],FOut,0),0)</f>
        <v>1</v>
      </c>
      <c r="C17" s="11" t="s">
        <v>19</v>
      </c>
      <c r="D17" s="11" t="s">
        <v>189</v>
      </c>
      <c r="E17"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143</v>
      </c>
      <c r="F17"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113</v>
      </c>
      <c r="G17"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83</v>
      </c>
      <c r="H17"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83</v>
      </c>
      <c r="I17"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79</v>
      </c>
      <c r="J17" s="11">
        <f>IFERROR(MATCH(Summary[[#This Row],[Facility]],F2Out,0),0)</f>
        <v>1</v>
      </c>
    </row>
    <row r="18" spans="1:10" x14ac:dyDescent="0.35">
      <c r="A18" s="11" t="s">
        <v>118</v>
      </c>
      <c r="B18" s="11">
        <f>IFERROR(MATCH(Summary[[#This Row],[Facility]],FOut,0),0)</f>
        <v>1</v>
      </c>
      <c r="C18" s="11" t="s">
        <v>23</v>
      </c>
      <c r="D18" s="11" t="s">
        <v>187</v>
      </c>
      <c r="E18"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16</v>
      </c>
      <c r="F18"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16</v>
      </c>
      <c r="G18"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40</v>
      </c>
      <c r="H18"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40</v>
      </c>
      <c r="I18"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40</v>
      </c>
      <c r="J18" s="11">
        <f>IFERROR(MATCH(Summary[[#This Row],[Facility]],F2Out,0),0)</f>
        <v>1</v>
      </c>
    </row>
    <row r="19" spans="1:10" x14ac:dyDescent="0.35">
      <c r="A19" s="11" t="s">
        <v>118</v>
      </c>
      <c r="B19" s="11">
        <f>IFERROR(MATCH(Summary[[#This Row],[Facility]],FOut,0),0)</f>
        <v>1</v>
      </c>
      <c r="C19" s="11" t="s">
        <v>23</v>
      </c>
      <c r="D19" s="11" t="s">
        <v>189</v>
      </c>
      <c r="E19"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64</v>
      </c>
      <c r="F19"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64</v>
      </c>
      <c r="G19"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64</v>
      </c>
      <c r="H19"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64</v>
      </c>
      <c r="I19"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39</v>
      </c>
      <c r="J19" s="11">
        <f>IFERROR(MATCH(Summary[[#This Row],[Facility]],F2Out,0),0)</f>
        <v>1</v>
      </c>
    </row>
    <row r="20" spans="1:10" x14ac:dyDescent="0.35">
      <c r="A20" s="11" t="s">
        <v>118</v>
      </c>
      <c r="B20" s="11">
        <f>IFERROR(MATCH(Summary[[#This Row],[Facility]],FOut,0),0)</f>
        <v>1</v>
      </c>
      <c r="C20" s="11" t="s">
        <v>188</v>
      </c>
      <c r="D20" s="11" t="s">
        <v>188</v>
      </c>
      <c r="E20"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78</v>
      </c>
      <c r="F20"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78</v>
      </c>
      <c r="G20"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54</v>
      </c>
      <c r="H20"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34</v>
      </c>
      <c r="I20"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34</v>
      </c>
      <c r="J20" s="11">
        <f>IFERROR(MATCH(Summary[[#This Row],[Facility]],F2Out,0),0)</f>
        <v>1</v>
      </c>
    </row>
    <row r="21" spans="1:10" x14ac:dyDescent="0.35">
      <c r="A21" s="11" t="s">
        <v>118</v>
      </c>
      <c r="B21" s="11">
        <f>IFERROR(MATCH(Summary[[#This Row],[Facility]],FOut,0),0)</f>
        <v>1</v>
      </c>
      <c r="C21" s="11" t="s">
        <v>19</v>
      </c>
      <c r="D21" s="11" t="s">
        <v>245</v>
      </c>
      <c r="E21"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0</v>
      </c>
      <c r="F21"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0</v>
      </c>
      <c r="G21"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0</v>
      </c>
      <c r="H21"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0</v>
      </c>
      <c r="I21"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0</v>
      </c>
      <c r="J21" s="4">
        <f>IFERROR(MATCH(Summary[[#This Row],[Facility]],F2Out,0),0)</f>
        <v>1</v>
      </c>
    </row>
    <row r="22" spans="1:10" x14ac:dyDescent="0.35">
      <c r="A22" s="11" t="s">
        <v>118</v>
      </c>
      <c r="B22" s="11">
        <f>IFERROR(MATCH(Summary[[#This Row],[Facility]],FOut,0),0)</f>
        <v>1</v>
      </c>
      <c r="C22" s="11" t="s">
        <v>23</v>
      </c>
      <c r="D22" s="11" t="s">
        <v>245</v>
      </c>
      <c r="E22"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0</v>
      </c>
      <c r="F22"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0</v>
      </c>
      <c r="G22"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0</v>
      </c>
      <c r="H22"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0</v>
      </c>
      <c r="I22"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0</v>
      </c>
      <c r="J22" s="4">
        <f>IFERROR(MATCH(Summary[[#This Row],[Facility]],F2Out,0),0)</f>
        <v>1</v>
      </c>
    </row>
    <row r="23" spans="1:10" x14ac:dyDescent="0.35">
      <c r="A23" s="11" t="s">
        <v>136</v>
      </c>
      <c r="B23" s="11">
        <f>IFERROR(MATCH(Summary[[#This Row],[Facility]],FOut,0),0)</f>
        <v>0</v>
      </c>
      <c r="C23" s="11" t="s">
        <v>19</v>
      </c>
      <c r="D23" s="11" t="s">
        <v>187</v>
      </c>
      <c r="E23"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30</v>
      </c>
      <c r="F23"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54</v>
      </c>
      <c r="G23"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54</v>
      </c>
      <c r="H23"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54</v>
      </c>
      <c r="I23"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104</v>
      </c>
      <c r="J23" s="11">
        <f>IFERROR(MATCH(Summary[[#This Row],[Facility]],F2Out,0),0)</f>
        <v>5</v>
      </c>
    </row>
    <row r="24" spans="1:10" x14ac:dyDescent="0.35">
      <c r="A24" s="11" t="s">
        <v>136</v>
      </c>
      <c r="B24" s="11">
        <f>IFERROR(MATCH(Summary[[#This Row],[Facility]],FOut,0),0)</f>
        <v>0</v>
      </c>
      <c r="C24" s="11" t="s">
        <v>19</v>
      </c>
      <c r="D24" s="11" t="s">
        <v>189</v>
      </c>
      <c r="E24"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244</v>
      </c>
      <c r="F24"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219</v>
      </c>
      <c r="G24"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219</v>
      </c>
      <c r="H24"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219</v>
      </c>
      <c r="I24"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171</v>
      </c>
      <c r="J24" s="11">
        <f>IFERROR(MATCH(Summary[[#This Row],[Facility]],F2Out,0),0)</f>
        <v>5</v>
      </c>
    </row>
    <row r="25" spans="1:10" x14ac:dyDescent="0.35">
      <c r="A25" s="11" t="s">
        <v>136</v>
      </c>
      <c r="B25" s="11">
        <f>IFERROR(MATCH(Summary[[#This Row],[Facility]],FOut,0),0)</f>
        <v>0</v>
      </c>
      <c r="C25" s="11" t="s">
        <v>23</v>
      </c>
      <c r="D25" s="11" t="s">
        <v>187</v>
      </c>
      <c r="E25"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12</v>
      </c>
      <c r="F25"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12</v>
      </c>
      <c r="G25"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12</v>
      </c>
      <c r="H25"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12</v>
      </c>
      <c r="I25"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24</v>
      </c>
      <c r="J25" s="11">
        <f>IFERROR(MATCH(Summary[[#This Row],[Facility]],F2Out,0),0)</f>
        <v>5</v>
      </c>
    </row>
    <row r="26" spans="1:10" x14ac:dyDescent="0.35">
      <c r="A26" s="11" t="s">
        <v>136</v>
      </c>
      <c r="B26" s="11">
        <f>IFERROR(MATCH(Summary[[#This Row],[Facility]],FOut,0),0)</f>
        <v>0</v>
      </c>
      <c r="C26" s="11" t="s">
        <v>23</v>
      </c>
      <c r="D26" s="11" t="s">
        <v>189</v>
      </c>
      <c r="E26"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12</v>
      </c>
      <c r="F26"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12</v>
      </c>
      <c r="G26"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12</v>
      </c>
      <c r="H26"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12</v>
      </c>
      <c r="I26"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0</v>
      </c>
      <c r="J26" s="11">
        <f>IFERROR(MATCH(Summary[[#This Row],[Facility]],F2Out,0),0)</f>
        <v>5</v>
      </c>
    </row>
    <row r="27" spans="1:10" x14ac:dyDescent="0.35">
      <c r="A27" s="11" t="s">
        <v>136</v>
      </c>
      <c r="B27" s="11">
        <f>IFERROR(MATCH(Summary[[#This Row],[Facility]],FOut,0),0)</f>
        <v>0</v>
      </c>
      <c r="C27" s="11" t="s">
        <v>188</v>
      </c>
      <c r="D27" s="11" t="s">
        <v>188</v>
      </c>
      <c r="E27"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124</v>
      </c>
      <c r="F27"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124</v>
      </c>
      <c r="G27"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124</v>
      </c>
      <c r="H27"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124</v>
      </c>
      <c r="I27"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124</v>
      </c>
      <c r="J27" s="11">
        <f>IFERROR(MATCH(Summary[[#This Row],[Facility]],F2Out,0),0)</f>
        <v>5</v>
      </c>
    </row>
    <row r="28" spans="1:10" x14ac:dyDescent="0.35">
      <c r="A28" s="11" t="s">
        <v>136</v>
      </c>
      <c r="B28" s="11">
        <f>IFERROR(MATCH(Summary[[#This Row],[Facility]],FOut,0),0)</f>
        <v>0</v>
      </c>
      <c r="C28" s="11" t="s">
        <v>19</v>
      </c>
      <c r="D28" s="11" t="s">
        <v>245</v>
      </c>
      <c r="E28"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0</v>
      </c>
      <c r="F28"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0</v>
      </c>
      <c r="G28"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0</v>
      </c>
      <c r="H28"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0</v>
      </c>
      <c r="I28"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0</v>
      </c>
      <c r="J28" s="4">
        <f>IFERROR(MATCH(Summary[[#This Row],[Facility]],F2Out,0),0)</f>
        <v>5</v>
      </c>
    </row>
    <row r="29" spans="1:10" x14ac:dyDescent="0.35">
      <c r="A29" s="11" t="s">
        <v>136</v>
      </c>
      <c r="B29" s="11">
        <f>IFERROR(MATCH(Summary[[#This Row],[Facility]],FOut,0),0)</f>
        <v>0</v>
      </c>
      <c r="C29" s="11" t="s">
        <v>23</v>
      </c>
      <c r="D29" s="11" t="s">
        <v>245</v>
      </c>
      <c r="E29"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0</v>
      </c>
      <c r="F29"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0</v>
      </c>
      <c r="G29"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0</v>
      </c>
      <c r="H29"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0</v>
      </c>
      <c r="I29"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0</v>
      </c>
      <c r="J29" s="4">
        <f>IFERROR(MATCH(Summary[[#This Row],[Facility]],F2Out,0),0)</f>
        <v>5</v>
      </c>
    </row>
    <row r="30" spans="1:10" x14ac:dyDescent="0.35">
      <c r="A30" s="11" t="s">
        <v>164</v>
      </c>
      <c r="B30" s="11">
        <f>IFERROR(MATCH(Summary[[#This Row],[Facility]],FOut,0),0)</f>
        <v>0</v>
      </c>
      <c r="C30" s="11" t="s">
        <v>19</v>
      </c>
      <c r="D30" s="11" t="s">
        <v>187</v>
      </c>
      <c r="E30"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40</v>
      </c>
      <c r="F30"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40</v>
      </c>
      <c r="G30"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56</v>
      </c>
      <c r="H30"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78</v>
      </c>
      <c r="I30"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127</v>
      </c>
      <c r="J30" s="11">
        <f>IFERROR(MATCH(Summary[[#This Row],[Facility]],F2Out,0),0)</f>
        <v>4</v>
      </c>
    </row>
    <row r="31" spans="1:10" x14ac:dyDescent="0.35">
      <c r="A31" s="11" t="s">
        <v>164</v>
      </c>
      <c r="B31" s="11">
        <f>IFERROR(MATCH(Summary[[#This Row],[Facility]],FOut,0),0)</f>
        <v>0</v>
      </c>
      <c r="C31" s="11" t="s">
        <v>19</v>
      </c>
      <c r="D31" s="11" t="s">
        <v>189</v>
      </c>
      <c r="E31"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151</v>
      </c>
      <c r="F31"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151</v>
      </c>
      <c r="G31"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151</v>
      </c>
      <c r="H31"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129</v>
      </c>
      <c r="I31"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106</v>
      </c>
      <c r="J31" s="11">
        <f>IFERROR(MATCH(Summary[[#This Row],[Facility]],F2Out,0),0)</f>
        <v>4</v>
      </c>
    </row>
    <row r="32" spans="1:10" x14ac:dyDescent="0.35">
      <c r="A32" s="11" t="s">
        <v>164</v>
      </c>
      <c r="B32" s="11">
        <f>IFERROR(MATCH(Summary[[#This Row],[Facility]],FOut,0),0)</f>
        <v>0</v>
      </c>
      <c r="C32" s="11" t="s">
        <v>23</v>
      </c>
      <c r="D32" s="11" t="s">
        <v>187</v>
      </c>
      <c r="E32"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12</v>
      </c>
      <c r="F32"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30</v>
      </c>
      <c r="G32"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30</v>
      </c>
      <c r="H32"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30</v>
      </c>
      <c r="I32"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42</v>
      </c>
      <c r="J32" s="11">
        <f>IFERROR(MATCH(Summary[[#This Row],[Facility]],F2Out,0),0)</f>
        <v>4</v>
      </c>
    </row>
    <row r="33" spans="1:10" x14ac:dyDescent="0.35">
      <c r="A33" s="11" t="s">
        <v>164</v>
      </c>
      <c r="B33" s="11">
        <f>IFERROR(MATCH(Summary[[#This Row],[Facility]],FOut,0),0)</f>
        <v>0</v>
      </c>
      <c r="C33" s="11" t="s">
        <v>23</v>
      </c>
      <c r="D33" s="11" t="s">
        <v>189</v>
      </c>
      <c r="E33"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42</v>
      </c>
      <c r="F33"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24</v>
      </c>
      <c r="G33"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24</v>
      </c>
      <c r="H33"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24</v>
      </c>
      <c r="I33"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85</v>
      </c>
      <c r="J33" s="11">
        <f>IFERROR(MATCH(Summary[[#This Row],[Facility]],F2Out,0),0)</f>
        <v>4</v>
      </c>
    </row>
    <row r="34" spans="1:10" x14ac:dyDescent="0.35">
      <c r="A34" s="11" t="s">
        <v>164</v>
      </c>
      <c r="B34" s="11">
        <f>IFERROR(MATCH(Summary[[#This Row],[Facility]],FOut,0),0)</f>
        <v>0</v>
      </c>
      <c r="C34" s="11" t="s">
        <v>188</v>
      </c>
      <c r="D34" s="11" t="s">
        <v>188</v>
      </c>
      <c r="E34"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139</v>
      </c>
      <c r="F34"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139</v>
      </c>
      <c r="G34"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123</v>
      </c>
      <c r="H34"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123</v>
      </c>
      <c r="I34"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24</v>
      </c>
      <c r="J34" s="11">
        <f>IFERROR(MATCH(Summary[[#This Row],[Facility]],F2Out,0),0)</f>
        <v>4</v>
      </c>
    </row>
    <row r="35" spans="1:10" x14ac:dyDescent="0.35">
      <c r="A35" s="11" t="s">
        <v>164</v>
      </c>
      <c r="B35" s="11">
        <f>IFERROR(MATCH(Summary[[#This Row],[Facility]],FOut,0),0)</f>
        <v>0</v>
      </c>
      <c r="C35" s="11" t="s">
        <v>19</v>
      </c>
      <c r="D35" s="11" t="s">
        <v>245</v>
      </c>
      <c r="E35"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0</v>
      </c>
      <c r="F35"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0</v>
      </c>
      <c r="G35"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0</v>
      </c>
      <c r="H35"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0</v>
      </c>
      <c r="I35"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0</v>
      </c>
      <c r="J35" s="4">
        <f>IFERROR(MATCH(Summary[[#This Row],[Facility]],F2Out,0),0)</f>
        <v>4</v>
      </c>
    </row>
    <row r="36" spans="1:10" x14ac:dyDescent="0.35">
      <c r="A36" s="11" t="s">
        <v>164</v>
      </c>
      <c r="B36" s="11">
        <f>IFERROR(MATCH(Summary[[#This Row],[Facility]],FOut,0),0)</f>
        <v>0</v>
      </c>
      <c r="C36" s="11" t="s">
        <v>23</v>
      </c>
      <c r="D36" s="11" t="s">
        <v>245</v>
      </c>
      <c r="E36" s="4">
        <f ca="1">SUM(SUMIFS(Data[Beds],Data[Facility],Summary[[#This Row],[Facility]],INDIRECT("Data["&amp;E$1&amp;" Type]"),Summary[[#This Row],[Type]],INDIRECT("Data["&amp;E$1&amp;" COVID Status]"),Summary[[#This Row],[Status]]),SUMIFS(INDIRECT("Data["&amp;E$1&amp;" Bed Adjust]"),Data[Facility],Summary[[#This Row],[Facility]],INDIRECT("Data["&amp;E$1&amp;" Type]"),Summary[[#This Row],[Type]],INDIRECT("Data["&amp;E$1&amp;" COVID Status]"),Summary[[#This Row],[Status]]))</f>
        <v>0</v>
      </c>
      <c r="F36" s="4">
        <f ca="1">SUM(SUMIFS(Data[Beds],Data[Facility],Summary[[#This Row],[Facility]],INDIRECT("Data["&amp;F$1&amp;" Type]"),Summary[[#This Row],[Type]],INDIRECT("Data["&amp;F$1&amp;" COVID Status]"),Summary[[#This Row],[Status]]),SUMIFS(INDIRECT("Data["&amp;F$1&amp;" Bed Adjust]"),Data[Facility],Summary[[#This Row],[Facility]],INDIRECT("Data["&amp;F$1&amp;" Type]"),Summary[[#This Row],[Type]],INDIRECT("Data["&amp;F$1&amp;" COVID Status]"),Summary[[#This Row],[Status]]))</f>
        <v>0</v>
      </c>
      <c r="G36" s="4">
        <f ca="1">SUM(SUMIFS(Data[Beds],Data[Facility],Summary[[#This Row],[Facility]],INDIRECT("Data["&amp;G$1&amp;" Type]"),Summary[[#This Row],[Type]],INDIRECT("Data["&amp;G$1&amp;" COVID Status]"),Summary[[#This Row],[Status]]),SUMIFS(INDIRECT("Data["&amp;G$1&amp;" Bed Adjust]"),Data[Facility],Summary[[#This Row],[Facility]],INDIRECT("Data["&amp;G$1&amp;" Type]"),Summary[[#This Row],[Type]],INDIRECT("Data["&amp;G$1&amp;" COVID Status]"),Summary[[#This Row],[Status]]))</f>
        <v>0</v>
      </c>
      <c r="H36" s="4">
        <f ca="1">SUM(SUMIFS(Data[Beds],Data[Facility],Summary[[#This Row],[Facility]],INDIRECT("Data["&amp;H$1&amp;" Type]"),Summary[[#This Row],[Type]],INDIRECT("Data["&amp;H$1&amp;" COVID Status]"),Summary[[#This Row],[Status]]),SUMIFS(INDIRECT("Data["&amp;H$1&amp;" Bed Adjust]"),Data[Facility],Summary[[#This Row],[Facility]],INDIRECT("Data["&amp;H$1&amp;" Type]"),Summary[[#This Row],[Type]],INDIRECT("Data["&amp;H$1&amp;" COVID Status]"),Summary[[#This Row],[Status]]))</f>
        <v>0</v>
      </c>
      <c r="I36" s="4">
        <f ca="1">SUM(SUMIFS(MaxData[Beds],MaxData[Facility],Summary[[#This Row],[Facility]],INDIRECT("MaxData["&amp;I$1&amp;" Type]"),Summary[[#This Row],[Type]],INDIRECT("MaxData["&amp;I$1&amp;" COVID Status]"),Summary[[#This Row],[Status]]),SUMIFS(INDIRECT("MaxData["&amp;I$1&amp;" Bed Adjust]"),MaxData[Facility],Summary[[#This Row],[Facility]],INDIRECT("MaxData["&amp;I$1&amp;" Type]"),Summary[[#This Row],[Type]],INDIRECT("MaxData["&amp;I$1&amp;" COVID Status]"),Summary[[#This Row],[Status]]))</f>
        <v>0</v>
      </c>
      <c r="J36" s="4">
        <f>IFERROR(MATCH(Summary[[#This Row],[Facility]],F2Out,0),0)</f>
        <v>4</v>
      </c>
    </row>
    <row r="37" spans="1:10" x14ac:dyDescent="0.35">
      <c r="A37" s="10" t="s">
        <v>214</v>
      </c>
      <c r="B37" s="10"/>
      <c r="C37" s="10"/>
      <c r="D37" s="10"/>
      <c r="E37" s="9">
        <f ca="1">SUBTOTAL(109,Summary[Baseline])</f>
        <v>3027</v>
      </c>
      <c r="F37" s="9">
        <f ca="1">SUBTOTAL(109,Summary[Ramp Up])</f>
        <v>3015</v>
      </c>
      <c r="G37" s="9">
        <f ca="1">SUBTOTAL(109,Summary[Surge])</f>
        <v>3015</v>
      </c>
      <c r="H37" s="9">
        <f ca="1">SUBTOTAL(109,Summary[Next Up])</f>
        <v>3013</v>
      </c>
      <c r="I37" s="9">
        <f ca="1">SUBTOTAL(109,Summary[Max])</f>
        <v>2945</v>
      </c>
      <c r="J37" s="10"/>
    </row>
    <row r="40" spans="1:10" ht="13.5" thickBot="1" x14ac:dyDescent="0.4">
      <c r="E40" s="13"/>
    </row>
    <row r="41" spans="1:10" x14ac:dyDescent="0.35">
      <c r="B41" s="26" t="s">
        <v>237</v>
      </c>
      <c r="C41" s="27" t="s">
        <v>23</v>
      </c>
      <c r="D41" s="17" t="s">
        <v>213</v>
      </c>
      <c r="E41" s="18">
        <f ca="1">SUMIFS(Summary[Max],Summary[Visible],"&gt;0",Summary[Type],C41,Summary[Status],"COVID")</f>
        <v>40</v>
      </c>
      <c r="F41" s="18">
        <f ca="1">SUMIFS(Summary[Max],Summary[Visible],"&gt;0",Summary[Type],C41,Summary[Status],"COVID")</f>
        <v>40</v>
      </c>
      <c r="G41" s="18">
        <f ca="1">SUMIFS(Summary[Max],Summary[Visible],"&gt;0",Summary[Type],C41,Summary[Status],"COVID")</f>
        <v>40</v>
      </c>
      <c r="H41" s="19">
        <f ca="1">SUMIFS(Summary[Max],Summary[Visible],"&gt;0",Summary[Type],C41,Summary[Status],"COVID")</f>
        <v>40</v>
      </c>
    </row>
    <row r="42" spans="1:10" x14ac:dyDescent="0.35">
      <c r="B42" s="28"/>
      <c r="C42" s="29"/>
      <c r="D42" s="20" t="s">
        <v>245</v>
      </c>
      <c r="E42" s="21">
        <f ca="1">SUMIFS(Summary[Max],Summary[Visible],"&gt;0",Summary[Type],C41,Summary[Status],"Crisis")</f>
        <v>0</v>
      </c>
      <c r="F42" s="21">
        <f ca="1">SUMIFS(Summary[Max],Summary[Visible],"&gt;0",Summary[Type],C41,Summary[Status],"Crisis")</f>
        <v>0</v>
      </c>
      <c r="G42" s="21">
        <f ca="1">SUMIFS(Summary[Max],Summary[Visible],"&gt;0",Summary[Type],C41,Summary[Status],"Crisis")</f>
        <v>0</v>
      </c>
      <c r="H42" s="22">
        <f ca="1">SUMIFS(Summary[Max],Summary[Visible],"&gt;0",Summary[Type],C41,Summary[Status],"Crisis")</f>
        <v>0</v>
      </c>
    </row>
    <row r="43" spans="1:10" x14ac:dyDescent="0.35">
      <c r="B43" s="28"/>
      <c r="C43" s="29"/>
      <c r="D43" s="20" t="s">
        <v>215</v>
      </c>
      <c r="E43" s="21">
        <f ca="1">+E44-E41-E42</f>
        <v>39</v>
      </c>
      <c r="F43" s="21">
        <f t="shared" ref="F43:H43" ca="1" si="0">+F44-F41-F42</f>
        <v>39</v>
      </c>
      <c r="G43" s="21">
        <f t="shared" ca="1" si="0"/>
        <v>39</v>
      </c>
      <c r="H43" s="22">
        <f t="shared" ca="1" si="0"/>
        <v>39</v>
      </c>
    </row>
    <row r="44" spans="1:10" x14ac:dyDescent="0.35">
      <c r="B44" s="28"/>
      <c r="C44" s="29"/>
      <c r="D44" s="20" t="s">
        <v>216</v>
      </c>
      <c r="E44" s="21">
        <f ca="1">SUMIFS(Summary[Max],Summary[Visible],"&gt;0",Summary[Type],C41)</f>
        <v>79</v>
      </c>
      <c r="F44" s="21">
        <f ca="1">SUMIFS(Summary[Max],Summary[Visible],"&gt;0",Summary[Type],C41)</f>
        <v>79</v>
      </c>
      <c r="G44" s="21">
        <f ca="1">SUMIFS(Summary[Max],Summary[Visible],"&gt;0",Summary[Type],C41)</f>
        <v>79</v>
      </c>
      <c r="H44" s="22">
        <f ca="1">SUMIFS(Summary[Max],Summary[Visible],"&gt;0",Summary[Type],C41)</f>
        <v>79</v>
      </c>
    </row>
    <row r="45" spans="1:10" x14ac:dyDescent="0.35">
      <c r="B45" s="28"/>
      <c r="C45" s="29"/>
      <c r="D45" s="20" t="s">
        <v>218</v>
      </c>
      <c r="E45" s="21">
        <f ca="1">SUMIFS(Summary[Baseline],Summary[Visible],"&gt;0",Summary[Type],C41,Summary[Status],"COVID")-(E46/2)</f>
        <v>15.407500000000001</v>
      </c>
      <c r="F45" s="21">
        <f ca="1">SUMIFS(Summary[Ramp Up],Summary[Visible],"&gt;0",Summary[Type],C41,Summary[Status],"COVID")-(F46/2)</f>
        <v>15.407500000000001</v>
      </c>
      <c r="G45" s="21">
        <f ca="1">SUMIFS(Summary[Surge],Summary[Visible],"&gt;0",Summary[Type],C41,Summary[Status],"COVID")-(G46/2)</f>
        <v>39.407499999999999</v>
      </c>
      <c r="H45" s="22">
        <f ca="1">SUMIFS(Summary[Next Up],Summary[Visible],"&gt;0",Summary[Type],C41,Summary[Status],"COVID")-(H46/2)</f>
        <v>39.407499999999999</v>
      </c>
    </row>
    <row r="46" spans="1:10" x14ac:dyDescent="0.35">
      <c r="B46" s="28"/>
      <c r="C46" s="29"/>
      <c r="D46" s="20" t="s">
        <v>217</v>
      </c>
      <c r="E46" s="21">
        <f ca="1">+E44*0.015</f>
        <v>1.1850000000000001</v>
      </c>
      <c r="F46" s="21">
        <f ca="1">+F44*0.015</f>
        <v>1.1850000000000001</v>
      </c>
      <c r="G46" s="21">
        <f ca="1">+G44*0.015</f>
        <v>1.1850000000000001</v>
      </c>
      <c r="H46" s="22">
        <f ca="1">+H44*0.015</f>
        <v>1.1850000000000001</v>
      </c>
    </row>
    <row r="47" spans="1:10" x14ac:dyDescent="0.35">
      <c r="B47" s="28"/>
      <c r="C47" s="29"/>
      <c r="D47" s="20" t="s">
        <v>219</v>
      </c>
      <c r="E47" s="21">
        <f ca="1">SUM(E41:E44)-SUM(E45:E46)</f>
        <v>141.4075</v>
      </c>
      <c r="F47" s="21">
        <f ca="1">SUM(F41:F44)-SUM(F45:F46)</f>
        <v>141.4075</v>
      </c>
      <c r="G47" s="21">
        <f ca="1">SUM(G41:G44)-SUM(G45:G46)</f>
        <v>117.4075</v>
      </c>
      <c r="H47" s="22">
        <f ca="1">SUM(H41:H44)-SUM(H45:H46)</f>
        <v>117.4075</v>
      </c>
    </row>
    <row r="48" spans="1:10" x14ac:dyDescent="0.35">
      <c r="B48" s="28"/>
      <c r="C48" s="29"/>
      <c r="D48" s="20" t="s">
        <v>222</v>
      </c>
      <c r="E48" s="21" t="str">
        <f ca="1">TEXT(SUMIFS(Summary[Baseline],Summary[Visible],"&gt;0",Summary[Type],C41,Summary[Status],"COVID"),"#,##0")</f>
        <v>16</v>
      </c>
      <c r="F48" s="21" t="str">
        <f ca="1">TEXT(SUMIFS(Summary[Ramp Up],Summary[Visible],"&gt;0",Summary[Type],C41,Summary[Status],"COVID"),"#,##0")</f>
        <v>16</v>
      </c>
      <c r="G48" s="21" t="str">
        <f ca="1">TEXT(SUMIFS(Summary[Surge],Summary[Visible],"&gt;0",Summary[Type],C41,Summary[Status],"COVID"),"#,##0")</f>
        <v>40</v>
      </c>
      <c r="H48" s="22" t="str">
        <f ca="1">TEXT(SUMIFS(Summary[Next Up],Summary[Visible],"&gt;0",Summary[Type],C41,Summary[Status],"COVID"),"#,##0")</f>
        <v>40</v>
      </c>
    </row>
    <row r="49" spans="2:8" x14ac:dyDescent="0.35">
      <c r="B49" s="28"/>
      <c r="C49" s="29"/>
      <c r="D49" s="20" t="s">
        <v>220</v>
      </c>
      <c r="E49" s="21" t="str">
        <f ca="1">"Max COVID 
"&amp;TEXT(E41,"#,##0")&amp;" - "&amp;TEXT(SUMIFS(Summary[Baseline],Summary[Visible],"&gt;0",Summary[Type],C41,Summary[Status],"COVID")/E41,"0.0%")</f>
        <v>Max COVID 
40 - 40.0%</v>
      </c>
      <c r="F49" s="21" t="str">
        <f ca="1">"Max COVID 
"&amp;TEXT(F41,"#,##0")&amp;" - "&amp;TEXT(SUMIFS(Summary[Ramp Up],Summary[Visible],"&gt;0",Summary[Type],C41,Summary[Status],"COVID")/F41,"0.0%")</f>
        <v>Max COVID 
40 - 40.0%</v>
      </c>
      <c r="G49" s="21" t="str">
        <f ca="1">"Max COVID 
"&amp;TEXT(G41,"#,##0")&amp;" - "&amp;TEXT(SUMIFS(Summary[Surge],Summary[Visible],"&gt;0",Summary[Type],C41,Summary[Status],"COVID")/G41,"0.0%")</f>
        <v>Max COVID 
40 - 100.0%</v>
      </c>
      <c r="H49" s="22" t="str">
        <f ca="1">"Max COVID 
"&amp;TEXT(H41,"#,##0")&amp;" - "&amp;TEXT(SUMIFS(Summary[Next Up],Summary[Visible],"&gt;0",Summary[Type],C41,Summary[Status],"COVID")/H41,"0.0%")</f>
        <v>Max COVID 
40 - 100.0%</v>
      </c>
    </row>
    <row r="50" spans="2:8" x14ac:dyDescent="0.35">
      <c r="B50" s="28"/>
      <c r="C50" s="29"/>
      <c r="D50" s="39" t="s">
        <v>246</v>
      </c>
      <c r="E50" s="21" t="str">
        <f ca="1">"Crisis COVID 
"&amp;TEXT(E41+E42,"#,##0")&amp;" - "&amp;TEXT(SUMIFS(Summary[Baseline],Summary[Visible],"&gt;0",Summary[Type],$C41,Summary[Status],"COVID")/(E41+E42),"0.0%")</f>
        <v>Crisis COVID 
40 - 40.0%</v>
      </c>
      <c r="F50" s="21" t="str">
        <f ca="1">"Crisis COVID 
"&amp;TEXT(F41+F42,"#,##0")&amp;" - "&amp;TEXT(SUMIFS(Summary[Ramp Up],Summary[Visible],"&gt;0",Summary[Type],$C41,Summary[Status],"COVID")/(F41+F42),"0.0%")</f>
        <v>Crisis COVID 
40 - 40.0%</v>
      </c>
      <c r="G50" s="21" t="str">
        <f ca="1">"Crisis COVID 
"&amp;TEXT(G41+G42,"#,##0")&amp;" - "&amp;TEXT(SUMIFS(Summary[Surge],Summary[Visible],"&gt;0",Summary[Type],$C41,Summary[Status],"COVID")/(G41+G42),"0.0%")</f>
        <v>Crisis COVID 
40 - 100.0%</v>
      </c>
      <c r="H50" s="22" t="str">
        <f ca="1">"Crisis COVID 
"&amp;TEXT(H41+H42,"#,##0")&amp;" - "&amp;TEXT(SUMIFS(Summary[Next Up],Summary[Visible],"&gt;0",Summary[Type],$C41,Summary[Status],"COVID")/(H41+H42),"0.0%")</f>
        <v>Crisis COVID 
40 - 100.0%</v>
      </c>
    </row>
    <row r="51" spans="2:8" x14ac:dyDescent="0.35">
      <c r="B51" s="28"/>
      <c r="C51" s="29"/>
      <c r="D51" s="20" t="s">
        <v>221</v>
      </c>
      <c r="E51" s="21" t="str">
        <f ca="1">"All Beds
"&amp;TEXT(E44,"#,##0")&amp;" - "&amp;TEXT(SUMIFS(Summary[Baseline],Summary[Visible],"&gt;0",Summary[Type],C41,Summary[Status],"COVID")/E44,"0.0%")</f>
        <v>All Beds
79 - 20.3%</v>
      </c>
      <c r="F51" s="21" t="str">
        <f ca="1">"All Beds
"&amp;TEXT(F44,"#,##0")&amp;" - "&amp;TEXT(SUMIFS(Summary[Ramp Up],Summary[Visible],"&gt;0",Summary[Type],C41,Summary[Status],"COVID")/F44,"0.0%")</f>
        <v>All Beds
79 - 20.3%</v>
      </c>
      <c r="G51" s="21" t="str">
        <f ca="1">"All Beds
"&amp;TEXT(G44,"#,##0")&amp;" - "&amp;TEXT(SUMIFS(Summary[Surge],Summary[Visible],"&gt;0",Summary[Type],C41,Summary[Status],"COVID")/G44,"0.0%")</f>
        <v>All Beds
79 - 50.6%</v>
      </c>
      <c r="H51" s="22" t="str">
        <f ca="1">"All Beds
"&amp;TEXT(H44,"#,##0")&amp;" - "&amp;TEXT(SUMIFS(Summary[Next Up],Summary[Visible],"&gt;0",Summary[Type],C41,Summary[Status],"COVID")/H44,"0.0%")</f>
        <v>All Beds
79 - 50.6%</v>
      </c>
    </row>
    <row r="52" spans="2:8" x14ac:dyDescent="0.35">
      <c r="B52" s="28"/>
      <c r="C52" s="29" t="s">
        <v>19</v>
      </c>
      <c r="D52" s="20" t="s">
        <v>213</v>
      </c>
      <c r="E52" s="21">
        <f ca="1">SUMIFS(Summary[Max],Summary[Visible],"&gt;0",Summary[Type],C52,Summary[Status],"COVID")</f>
        <v>143</v>
      </c>
      <c r="F52" s="21">
        <f ca="1">SUMIFS(Summary[Max],Summary[Visible],"&gt;0",Summary[Type],C52,Summary[Status],"COVID")</f>
        <v>143</v>
      </c>
      <c r="G52" s="21">
        <f ca="1">SUMIFS(Summary[Max],Summary[Visible],"&gt;0",Summary[Type],C52,Summary[Status],"COVID")</f>
        <v>143</v>
      </c>
      <c r="H52" s="22">
        <f ca="1">SUMIFS(Summary[Max],Summary[Visible],"&gt;0",Summary[Type],C52,Summary[Status],"COVID")</f>
        <v>143</v>
      </c>
    </row>
    <row r="53" spans="2:8" x14ac:dyDescent="0.35">
      <c r="B53" s="28"/>
      <c r="C53" s="29"/>
      <c r="D53" s="39" t="s">
        <v>245</v>
      </c>
      <c r="E53" s="21">
        <f ca="1">SUMIFS(Summary[Max],Summary[Visible],"&gt;0",Summary[Type],C52,Summary[Status],"Crisis")</f>
        <v>0</v>
      </c>
      <c r="F53" s="21">
        <f ca="1">SUMIFS(Summary[Max],Summary[Visible],"&gt;0",Summary[Type],C52,Summary[Status],"Crisis")</f>
        <v>0</v>
      </c>
      <c r="G53" s="21">
        <f ca="1">SUMIFS(Summary[Max],Summary[Visible],"&gt;0",Summary[Type],C52,Summary[Status],"Crisis")</f>
        <v>0</v>
      </c>
      <c r="H53" s="22">
        <f ca="1">SUMIFS(Summary[Max],Summary[Visible],"&gt;0",Summary[Type],C52,Summary[Status],"Crisis")</f>
        <v>0</v>
      </c>
    </row>
    <row r="54" spans="2:8" x14ac:dyDescent="0.35">
      <c r="B54" s="28"/>
      <c r="C54" s="29"/>
      <c r="D54" s="20" t="s">
        <v>215</v>
      </c>
      <c r="E54" s="21">
        <f ca="1">+E55-E52-E53</f>
        <v>79</v>
      </c>
      <c r="F54" s="21">
        <f t="shared" ref="F54" ca="1" si="1">+F55-F52-F53</f>
        <v>79</v>
      </c>
      <c r="G54" s="21">
        <f t="shared" ref="G54" ca="1" si="2">+G55-G52-G53</f>
        <v>79</v>
      </c>
      <c r="H54" s="22">
        <f t="shared" ref="H54" ca="1" si="3">+H55-H52-H53</f>
        <v>79</v>
      </c>
    </row>
    <row r="55" spans="2:8" x14ac:dyDescent="0.35">
      <c r="B55" s="28"/>
      <c r="C55" s="29"/>
      <c r="D55" s="20" t="s">
        <v>216</v>
      </c>
      <c r="E55" s="21">
        <f ca="1">SUMIFS(Summary[Max],Summary[Visible],"&gt;0",Summary[Type],C52)</f>
        <v>222</v>
      </c>
      <c r="F55" s="21">
        <f ca="1">SUMIFS(Summary[Max],Summary[Visible],"&gt;0",Summary[Type],C52)</f>
        <v>222</v>
      </c>
      <c r="G55" s="21">
        <f ca="1">SUMIFS(Summary[Max],Summary[Visible],"&gt;0",Summary[Type],C52)</f>
        <v>222</v>
      </c>
      <c r="H55" s="22">
        <f ca="1">SUMIFS(Summary[Max],Summary[Visible],"&gt;0",Summary[Type],C52)</f>
        <v>222</v>
      </c>
    </row>
    <row r="56" spans="2:8" x14ac:dyDescent="0.35">
      <c r="B56" s="28"/>
      <c r="C56" s="29"/>
      <c r="D56" s="20" t="s">
        <v>218</v>
      </c>
      <c r="E56" s="21">
        <f ca="1">SUMIFS(Summary[Baseline],Summary[Visible],"&gt;0",Summary[Type],C52,Summary[Status],"COVID")-(E57/2)</f>
        <v>57.335000000000001</v>
      </c>
      <c r="F56" s="21">
        <f ca="1">SUMIFS(Summary[Ramp Up],Summary[Visible],"&gt;0",Summary[Type],C52,Summary[Status],"COVID")-(F57/2)</f>
        <v>87.334999999999994</v>
      </c>
      <c r="G56" s="21">
        <f ca="1">SUMIFS(Summary[Surge],Summary[Visible],"&gt;0",Summary[Type],C52,Summary[Status],"COVID")-(G57/2)</f>
        <v>117.33499999999999</v>
      </c>
      <c r="H56" s="22">
        <f ca="1">SUMIFS(Summary[Next Up],Summary[Visible],"&gt;0",Summary[Type],C52,Summary[Status],"COVID")-(H57/2)</f>
        <v>137.33500000000001</v>
      </c>
    </row>
    <row r="57" spans="2:8" x14ac:dyDescent="0.35">
      <c r="B57" s="28"/>
      <c r="C57" s="29"/>
      <c r="D57" s="20" t="s">
        <v>217</v>
      </c>
      <c r="E57" s="21">
        <f ca="1">+E55*0.015</f>
        <v>3.33</v>
      </c>
      <c r="F57" s="21">
        <f ca="1">+F55*0.015</f>
        <v>3.33</v>
      </c>
      <c r="G57" s="21">
        <f ca="1">+G55*0.015</f>
        <v>3.33</v>
      </c>
      <c r="H57" s="22">
        <f ca="1">+H55*0.015</f>
        <v>3.33</v>
      </c>
    </row>
    <row r="58" spans="2:8" x14ac:dyDescent="0.35">
      <c r="B58" s="28"/>
      <c r="C58" s="29"/>
      <c r="D58" s="20" t="s">
        <v>219</v>
      </c>
      <c r="E58" s="21">
        <f ca="1">SUM(E52:E55)-SUM(E56:E57)</f>
        <v>383.33499999999998</v>
      </c>
      <c r="F58" s="21">
        <f ca="1">SUM(F52:F55)-SUM(F56:F57)</f>
        <v>353.33500000000004</v>
      </c>
      <c r="G58" s="21">
        <f ca="1">SUM(G52:G55)-SUM(G56:G57)</f>
        <v>323.33500000000004</v>
      </c>
      <c r="H58" s="22">
        <f ca="1">SUM(H52:H55)-SUM(H56:H57)</f>
        <v>303.33499999999998</v>
      </c>
    </row>
    <row r="59" spans="2:8" x14ac:dyDescent="0.35">
      <c r="B59" s="28"/>
      <c r="C59" s="29"/>
      <c r="D59" s="20" t="s">
        <v>222</v>
      </c>
      <c r="E59" s="21" t="str">
        <f ca="1">TEXT(SUMIFS(Summary[Baseline],Summary[Visible],"&gt;0",Summary[Type],C52,Summary[Status],"COVID"),"#,##0")</f>
        <v>59</v>
      </c>
      <c r="F59" s="21" t="str">
        <f ca="1">TEXT(SUMIFS(Summary[Ramp Up],Summary[Visible],"&gt;0",Summary[Type],C52,Summary[Status],"COVID"),"#,##0")</f>
        <v>89</v>
      </c>
      <c r="G59" s="21" t="str">
        <f ca="1">TEXT(SUMIFS(Summary[Surge],Summary[Visible],"&gt;0",Summary[Type],C52,Summary[Status],"COVID"),"#,##0")</f>
        <v>119</v>
      </c>
      <c r="H59" s="22" t="str">
        <f ca="1">TEXT(SUMIFS(Summary[Next Up],Summary[Visible],"&gt;0",Summary[Type],C52,Summary[Status],"COVID"),"#,##0")</f>
        <v>139</v>
      </c>
    </row>
    <row r="60" spans="2:8" x14ac:dyDescent="0.35">
      <c r="B60" s="28"/>
      <c r="C60" s="29"/>
      <c r="D60" s="20" t="s">
        <v>220</v>
      </c>
      <c r="E60" s="21" t="str">
        <f ca="1">"Max COVID 
"&amp;TEXT(E52,"#,##0")&amp;" - "&amp;TEXT(SUMIFS(Summary[Baseline],Summary[Visible],"&gt;0",Summary[Type],C52,Summary[Status],"COVID")/E52,"0.0%")</f>
        <v>Max COVID 
143 - 41.3%</v>
      </c>
      <c r="F60" s="21" t="str">
        <f ca="1">"Max COVID 
"&amp;TEXT(F52,"#,##0")&amp;" - "&amp;TEXT(SUMIFS(Summary[Ramp Up],Summary[Visible],"&gt;0",Summary[Type],C52,Summary[Status],"COVID")/F52,"0.0%")</f>
        <v>Max COVID 
143 - 62.2%</v>
      </c>
      <c r="G60" s="21" t="str">
        <f ca="1">"Max COVID 
"&amp;TEXT(G52,"#,##0")&amp;" - "&amp;TEXT(SUMIFS(Summary[Surge],Summary[Visible],"&gt;0",Summary[Type],C52,Summary[Status],"COVID")/G52,"0.0%")</f>
        <v>Max COVID 
143 - 83.2%</v>
      </c>
      <c r="H60" s="22" t="str">
        <f ca="1">"Max COVID 
"&amp;TEXT(H52,"#,##0")&amp;" - "&amp;TEXT(SUMIFS(Summary[Next Up],Summary[Visible],"&gt;0",Summary[Type],C52,Summary[Status],"COVID")/H52,"0.0%")</f>
        <v>Max COVID 
143 - 97.2%</v>
      </c>
    </row>
    <row r="61" spans="2:8" x14ac:dyDescent="0.35">
      <c r="B61" s="28"/>
      <c r="C61" s="29"/>
      <c r="D61" s="39" t="s">
        <v>246</v>
      </c>
      <c r="E61" s="21" t="str">
        <f ca="1">"Crisis COVID 
"&amp;TEXT(E52+E53,"#,##0")&amp;" - "&amp;TEXT(SUMIFS(Summary[Baseline],Summary[Visible],"&gt;0",Summary[Type],$C52,Summary[Status],"COVID")/(E52+E53),"0.0%")</f>
        <v>Crisis COVID 
143 - 41.3%</v>
      </c>
      <c r="F61" s="21" t="str">
        <f ca="1">"Crisis COVID 
"&amp;TEXT(F52+F53,"#,##0")&amp;" - "&amp;TEXT(SUMIFS(Summary[Ramp Up],Summary[Visible],"&gt;0",Summary[Type],$C52,Summary[Status],"COVID")/(F52+F53),"0.0%")</f>
        <v>Crisis COVID 
143 - 62.2%</v>
      </c>
      <c r="G61" s="21" t="str">
        <f ca="1">"Crisis COVID 
"&amp;TEXT(G52+G53,"#,##0")&amp;" - "&amp;TEXT(SUMIFS(Summary[Surge],Summary[Visible],"&gt;0",Summary[Type],$C52,Summary[Status],"COVID")/(G52+G53),"0.0%")</f>
        <v>Crisis COVID 
143 - 83.2%</v>
      </c>
      <c r="H61" s="22" t="str">
        <f ca="1">"Crisis COVID 
"&amp;TEXT(H52+H53,"#,##0")&amp;" - "&amp;TEXT(SUMIFS(Summary[Next Up],Summary[Visible],"&gt;0",Summary[Type],$C52,Summary[Status],"COVID")/(H52+H53),"0.0%")</f>
        <v>Crisis COVID 
143 - 97.2%</v>
      </c>
    </row>
    <row r="62" spans="2:8" x14ac:dyDescent="0.35">
      <c r="B62" s="28"/>
      <c r="C62" s="29"/>
      <c r="D62" s="20" t="s">
        <v>221</v>
      </c>
      <c r="E62" s="21" t="str">
        <f ca="1">"All Beds
"&amp;TEXT(E55,"#,##0")&amp;" - "&amp;TEXT(SUMIFS(Summary[Baseline],Summary[Visible],"&gt;0",Summary[Type],C52,Summary[Status],"COVID")/E55,"0.0%")</f>
        <v>All Beds
222 - 26.6%</v>
      </c>
      <c r="F62" s="21" t="str">
        <f ca="1">"All Beds
"&amp;TEXT(F55,"#,##0")&amp;" - "&amp;TEXT(SUMIFS(Summary[Ramp Up],Summary[Visible],"&gt;0",Summary[Type],C52,Summary[Status],"COVID")/F55,"0.0%")</f>
        <v>All Beds
222 - 40.1%</v>
      </c>
      <c r="G62" s="21" t="str">
        <f ca="1">"All Beds
"&amp;TEXT(G55,"#,##0")&amp;" - "&amp;TEXT(SUMIFS(Summary[Surge],Summary[Visible],"&gt;0",Summary[Type],C52,Summary[Status],"COVID")/G55,"0.0%")</f>
        <v>All Beds
222 - 53.6%</v>
      </c>
      <c r="H62" s="22" t="str">
        <f ca="1">"All Beds
"&amp;TEXT(H55,"#,##0")&amp;" - "&amp;TEXT(SUMIFS(Summary[Next Up],Summary[Visible],"&gt;0",Summary[Type],C52,Summary[Status],"COVID")/H55,"0.0%")</f>
        <v>All Beds
222 - 62.6%</v>
      </c>
    </row>
    <row r="63" spans="2:8" ht="13.5" thickBot="1" x14ac:dyDescent="0.4">
      <c r="B63" s="30"/>
      <c r="C63" s="31"/>
      <c r="D63" s="23" t="s">
        <v>223</v>
      </c>
      <c r="E63" s="24" t="str">
        <f ca="1">"Total COVID
"&amp;TEXT(SUM(VALUE(E48),VALUE(E59)),"#,##0")</f>
        <v>Total COVID
75</v>
      </c>
      <c r="F63" s="24" t="str">
        <f ca="1">"Total COVID
"&amp;TEXT(SUM(VALUE(F48),VALUE(F59)),"#,##0")</f>
        <v>Total COVID
105</v>
      </c>
      <c r="G63" s="24" t="str">
        <f ca="1">"Total COVID
"&amp;TEXT(SUM(VALUE(G48),VALUE(G59)),"#,##0")</f>
        <v>Total COVID
159</v>
      </c>
      <c r="H63" s="25" t="str">
        <f ca="1">"Total COVID
"&amp;TEXT(SUM(VALUE(H48),VALUE(H59)),"#,##0")</f>
        <v>Total COVID
179</v>
      </c>
    </row>
    <row r="64" spans="2:8" x14ac:dyDescent="0.35">
      <c r="B64" s="26" t="s">
        <v>236</v>
      </c>
      <c r="C64" s="27" t="s">
        <v>23</v>
      </c>
      <c r="D64" s="17" t="s">
        <v>213</v>
      </c>
      <c r="E64" s="18">
        <f ca="1">SUMIFS(Summary[Max],Summary[VisSum],"&gt;0",Summary[Type],C64,Summary[Status],"COVID")</f>
        <v>302</v>
      </c>
      <c r="F64" s="18">
        <f ca="1">SUMIFS(Summary[Max],Summary[VisSum],"&gt;0",Summary[Type],C64,Summary[Status],"COVID")</f>
        <v>302</v>
      </c>
      <c r="G64" s="18">
        <f ca="1">SUMIFS(Summary[Max],Summary[VisSum],"&gt;0",Summary[Type],C64,Summary[Status],"COVID")</f>
        <v>302</v>
      </c>
      <c r="H64" s="19">
        <f ca="1">SUMIFS(Summary[Max],Summary[VisSum],"&gt;0",Summary[Type],C64,Summary[Status],"COVID")</f>
        <v>302</v>
      </c>
    </row>
    <row r="65" spans="2:8" x14ac:dyDescent="0.35">
      <c r="B65" s="28"/>
      <c r="C65" s="29"/>
      <c r="D65" s="39" t="s">
        <v>245</v>
      </c>
      <c r="E65" s="21">
        <f ca="1">SUMIFS(Summary[Max],Summary[VisSum],"&gt;0",Summary[Type],C64,Summary[Status],"Crisis")</f>
        <v>127</v>
      </c>
      <c r="F65" s="21">
        <f ca="1">SUMIFS(Summary[Max],Summary[VisSum],"&gt;0",Summary[Type],C64,Summary[Status],"Crisis")</f>
        <v>127</v>
      </c>
      <c r="G65" s="21">
        <f ca="1">SUMIFS(Summary[Max],Summary[VisSum],"&gt;0",Summary[Type],C64,Summary[Status],"Crisis")</f>
        <v>127</v>
      </c>
      <c r="H65" s="22">
        <f ca="1">SUMIFS(Summary[Max],Summary[VisSum],"&gt;0",Summary[Type],C64,Summary[Status],"Crisis")</f>
        <v>127</v>
      </c>
    </row>
    <row r="66" spans="2:8" x14ac:dyDescent="0.35">
      <c r="B66" s="28"/>
      <c r="C66" s="29"/>
      <c r="D66" s="20" t="s">
        <v>215</v>
      </c>
      <c r="E66" s="21">
        <f ca="1">+E67-E64-E65</f>
        <v>248</v>
      </c>
      <c r="F66" s="21">
        <f t="shared" ref="F66:H66" ca="1" si="4">+F67-F64-F65</f>
        <v>248</v>
      </c>
      <c r="G66" s="21">
        <f t="shared" ca="1" si="4"/>
        <v>248</v>
      </c>
      <c r="H66" s="22">
        <f t="shared" ca="1" si="4"/>
        <v>248</v>
      </c>
    </row>
    <row r="67" spans="2:8" x14ac:dyDescent="0.35">
      <c r="B67" s="28"/>
      <c r="C67" s="29"/>
      <c r="D67" s="20" t="s">
        <v>216</v>
      </c>
      <c r="E67" s="21">
        <f ca="1">SUMIFS(Summary[Max],Summary[VisSum],"&gt;0",Summary[Type],C64)</f>
        <v>677</v>
      </c>
      <c r="F67" s="21">
        <f ca="1">SUMIFS(Summary[Max],Summary[VisSum],"&gt;0",Summary[Type],C64)</f>
        <v>677</v>
      </c>
      <c r="G67" s="21">
        <f ca="1">SUMIFS(Summary[Max],Summary[VisSum],"&gt;0",Summary[Type],C64)</f>
        <v>677</v>
      </c>
      <c r="H67" s="22">
        <f ca="1">SUMIFS(Summary[Max],Summary[VisSum],"&gt;0",Summary[Type],C64)</f>
        <v>677</v>
      </c>
    </row>
    <row r="68" spans="2:8" x14ac:dyDescent="0.35">
      <c r="B68" s="28"/>
      <c r="C68" s="29"/>
      <c r="D68" s="20" t="s">
        <v>218</v>
      </c>
      <c r="E68" s="21">
        <f ca="1">SUMIFS(Summary[Baseline],Summary[VisSum],"&gt;0",Summary[Type],C64,Summary[Status],"COVID")-(E69/2)</f>
        <v>96.922499999999999</v>
      </c>
      <c r="F68" s="21">
        <f ca="1">SUMIFS(Summary[Ramp Up],Summary[VisSum],"&gt;0",Summary[Type],C64,Summary[Status],"COVID")-(F69/2)</f>
        <v>130.92250000000001</v>
      </c>
      <c r="G68" s="21">
        <f ca="1">SUMIFS(Summary[Surge],Summary[VisSum],"&gt;0",Summary[Type],C64,Summary[Status],"COVID")-(G69/2)</f>
        <v>236.92250000000001</v>
      </c>
      <c r="H68" s="22">
        <f ca="1">SUMIFS(Summary[Next Up],Summary[VisSum],"&gt;0",Summary[Type],C64,Summary[Status],"COVID")-(H69/2)</f>
        <v>377.92250000000001</v>
      </c>
    </row>
    <row r="69" spans="2:8" x14ac:dyDescent="0.35">
      <c r="B69" s="28"/>
      <c r="C69" s="29"/>
      <c r="D69" s="20" t="s">
        <v>217</v>
      </c>
      <c r="E69" s="21">
        <f ca="1">+E67*0.015</f>
        <v>10.154999999999999</v>
      </c>
      <c r="F69" s="21">
        <f ca="1">+F67*0.015</f>
        <v>10.154999999999999</v>
      </c>
      <c r="G69" s="21">
        <f ca="1">+G67*0.015</f>
        <v>10.154999999999999</v>
      </c>
      <c r="H69" s="22">
        <f ca="1">+H67*0.015</f>
        <v>10.154999999999999</v>
      </c>
    </row>
    <row r="70" spans="2:8" x14ac:dyDescent="0.35">
      <c r="B70" s="28"/>
      <c r="C70" s="29"/>
      <c r="D70" s="20" t="s">
        <v>219</v>
      </c>
      <c r="E70" s="21">
        <f ca="1">SUM(E64:E67)-SUM(E68:E69)</f>
        <v>1246.9224999999999</v>
      </c>
      <c r="F70" s="21">
        <f ca="1">SUM(F64:F67)-SUM(F68:F69)</f>
        <v>1212.9224999999999</v>
      </c>
      <c r="G70" s="21">
        <f ca="1">SUM(G64:G67)-SUM(G68:G69)</f>
        <v>1106.9224999999999</v>
      </c>
      <c r="H70" s="22">
        <f ca="1">SUM(H64:H67)-SUM(H68:H69)</f>
        <v>965.92250000000001</v>
      </c>
    </row>
    <row r="71" spans="2:8" x14ac:dyDescent="0.35">
      <c r="B71" s="28"/>
      <c r="C71" s="29"/>
      <c r="D71" s="20" t="s">
        <v>222</v>
      </c>
      <c r="E71" s="21" t="str">
        <f ca="1">TEXT(SUMIFS(Summary[Baseline],Summary[VisSum],"&gt;0",Summary[Type],C64,Summary[Status],"COVID"),"#,##0")</f>
        <v>102</v>
      </c>
      <c r="F71" s="21" t="str">
        <f ca="1">TEXT(SUMIFS(Summary[Ramp Up],Summary[VisSum],"&gt;0",Summary[Type],C64,Summary[Status],"COVID"),"#,##0")</f>
        <v>136</v>
      </c>
      <c r="G71" s="21" t="str">
        <f ca="1">TEXT(SUMIFS(Summary[Surge],Summary[VisSum],"&gt;0",Summary[Type],C64,Summary[Status],"COVID"),"#,##0")</f>
        <v>242</v>
      </c>
      <c r="H71" s="22" t="str">
        <f ca="1">TEXT(SUMIFS(Summary[Next Up],Summary[VisSum],"&gt;0",Summary[Type],C64,Summary[Status],"COVID"),"#,##0")</f>
        <v>383</v>
      </c>
    </row>
    <row r="72" spans="2:8" x14ac:dyDescent="0.35">
      <c r="B72" s="28"/>
      <c r="C72" s="29"/>
      <c r="D72" s="20" t="s">
        <v>220</v>
      </c>
      <c r="E72" s="21" t="str">
        <f ca="1">"Max COVID 
"&amp;TEXT(E64,"#,##0")&amp;" - "&amp;TEXT(SUMIFS(Summary[Baseline],Summary[VisSum],"&gt;0",Summary[Type],C64,Summary[Status],"COVID")/E64,"0.0%")</f>
        <v>Max COVID 
302 - 33.8%</v>
      </c>
      <c r="F72" s="21" t="str">
        <f ca="1">"Max COVID 
"&amp;TEXT(F64,"#,##0")&amp;" - "&amp;TEXT(SUMIFS(Summary[Ramp Up],Summary[VisSum],"&gt;0",Summary[Type],C64,Summary[Status],"COVID")/F64,"0.0%")</f>
        <v>Max COVID 
302 - 45.0%</v>
      </c>
      <c r="G72" s="21" t="str">
        <f ca="1">"Max COVID 
"&amp;TEXT(G64,"#,##0")&amp;" - "&amp;TEXT(SUMIFS(Summary[Surge],Summary[VisSum],"&gt;0",Summary[Type],C64,Summary[Status],"COVID")/G64,"0.0%")</f>
        <v>Max COVID 
302 - 80.1%</v>
      </c>
      <c r="H72" s="22" t="str">
        <f ca="1">"Max COVID 
"&amp;TEXT(H64,"#,##0")&amp;" - "&amp;TEXT(SUMIFS(Summary[Next Up],Summary[VisSum],"&gt;0",Summary[Type],C64,Summary[Status],"COVID")/H64,"0.0%")</f>
        <v>Max COVID 
302 - 126.8%</v>
      </c>
    </row>
    <row r="73" spans="2:8" x14ac:dyDescent="0.35">
      <c r="B73" s="28"/>
      <c r="C73" s="29"/>
      <c r="D73" s="39" t="s">
        <v>246</v>
      </c>
      <c r="E73" s="21" t="str">
        <f ca="1">"Crisis COVID 
"&amp;TEXT(E64+E65,"#,##0")&amp;" - "&amp;TEXT(SUMIFS(Summary[Baseline],Summary[VisSum],"&gt;0",Summary[Type],$C64,Summary[Status],"COVID")/(E64+E65),"0.0%")</f>
        <v>Crisis COVID 
429 - 23.8%</v>
      </c>
      <c r="F73" s="21" t="str">
        <f ca="1">"Crisis COVID 
"&amp;TEXT(F64+F65,"#,##0")&amp;" - "&amp;TEXT(SUMIFS(Summary[Ramp Up],Summary[VisSum],"&gt;0",Summary[Type],$C64,Summary[Status],"COVID")/(F64+F65),"0.0%")</f>
        <v>Crisis COVID 
429 - 31.7%</v>
      </c>
      <c r="G73" s="21" t="str">
        <f ca="1">"Crisis COVID 
"&amp;TEXT(G64+G65,"#,##0")&amp;" - "&amp;TEXT(SUMIFS(Summary[Surge],Summary[VisSum],"&gt;0",Summary[Type],$C64,Summary[Status],"COVID")/(G64+G65),"0.0%")</f>
        <v>Crisis COVID 
429 - 56.4%</v>
      </c>
      <c r="H73" s="22" t="str">
        <f ca="1">"Crisis COVID 
"&amp;TEXT(H64+H65,"#,##0")&amp;" - "&amp;TEXT(SUMIFS(Summary[Next Up],Summary[VisSum],"&gt;0",Summary[Type],$C64,Summary[Status],"COVID")/(H64+H65),"0.0%")</f>
        <v>Crisis COVID 
429 - 89.3%</v>
      </c>
    </row>
    <row r="74" spans="2:8" x14ac:dyDescent="0.35">
      <c r="B74" s="28"/>
      <c r="C74" s="29"/>
      <c r="D74" s="20" t="s">
        <v>221</v>
      </c>
      <c r="E74" s="21" t="str">
        <f ca="1">"All Beds
"&amp;TEXT(E67,"#,##0")&amp;" - "&amp;TEXT(SUMIFS(Summary[Baseline],Summary[VisSum],"&gt;0",Summary[Type],C64,Summary[Status],"COVID")/E67,"0.0%")</f>
        <v>All Beds
677 - 15.1%</v>
      </c>
      <c r="F74" s="21" t="str">
        <f ca="1">"All Beds
"&amp;TEXT(F67,"#,##0")&amp;" - "&amp;TEXT(SUMIFS(Summary[Ramp Up],Summary[VisSum],"&gt;0",Summary[Type],C64,Summary[Status],"COVID")/F67,"0.0%")</f>
        <v>All Beds
677 - 20.1%</v>
      </c>
      <c r="G74" s="21" t="str">
        <f ca="1">"All Beds
"&amp;TEXT(G67,"#,##0")&amp;" - "&amp;TEXT(SUMIFS(Summary[Surge],Summary[VisSum],"&gt;0",Summary[Type],C64,Summary[Status],"COVID")/G67,"0.0%")</f>
        <v>All Beds
677 - 35.7%</v>
      </c>
      <c r="H74" s="22" t="str">
        <f ca="1">"All Beds
"&amp;TEXT(H67,"#,##0")&amp;" - "&amp;TEXT(SUMIFS(Summary[Next Up],Summary[VisSum],"&gt;0",Summary[Type],C64,Summary[Status],"COVID")/H67,"0.0%")</f>
        <v>All Beds
677 - 56.6%</v>
      </c>
    </row>
    <row r="75" spans="2:8" x14ac:dyDescent="0.35">
      <c r="B75" s="28"/>
      <c r="C75" s="29" t="s">
        <v>19</v>
      </c>
      <c r="D75" s="20" t="s">
        <v>213</v>
      </c>
      <c r="E75" s="21">
        <f ca="1">SUMIFS(Summary[Max],Summary[VisSum],"&gt;0",Summary[Type],C75,Summary[Status],"COVID")</f>
        <v>744</v>
      </c>
      <c r="F75" s="21">
        <f ca="1">SUMIFS(Summary[Max],Summary[VisSum],"&gt;0",Summary[Type],C75,Summary[Status],"COVID")</f>
        <v>744</v>
      </c>
      <c r="G75" s="21">
        <f ca="1">SUMIFS(Summary[Max],Summary[VisSum],"&gt;0",Summary[Type],C75,Summary[Status],"COVID")</f>
        <v>744</v>
      </c>
      <c r="H75" s="22">
        <f ca="1">SUMIFS(Summary[Max],Summary[VisSum],"&gt;0",Summary[Type],C75,Summary[Status],"COVID")</f>
        <v>744</v>
      </c>
    </row>
    <row r="76" spans="2:8" x14ac:dyDescent="0.35">
      <c r="B76" s="28"/>
      <c r="C76" s="29"/>
      <c r="D76" s="39" t="s">
        <v>245</v>
      </c>
      <c r="E76" s="21">
        <f ca="1">SUMIFS(Summary[Max],Summary[VisSum],"&gt;0",Summary[Type],C75,Summary[Status],"Crisis")</f>
        <v>138</v>
      </c>
      <c r="F76" s="21">
        <f ca="1">SUMIFS(Summary[Max],Summary[VisSum],"&gt;0",Summary[Type],C75,Summary[Status],"Crisis")</f>
        <v>138</v>
      </c>
      <c r="G76" s="21">
        <f ca="1">SUMIFS(Summary[Max],Summary[VisSum],"&gt;0",Summary[Type],C75,Summary[Status],"Crisis")</f>
        <v>138</v>
      </c>
      <c r="H76" s="22">
        <f ca="1">SUMIFS(Summary[Max],Summary[VisSum],"&gt;0",Summary[Type],C75,Summary[Status],"Crisis")</f>
        <v>138</v>
      </c>
    </row>
    <row r="77" spans="2:8" x14ac:dyDescent="0.35">
      <c r="B77" s="28"/>
      <c r="C77" s="29"/>
      <c r="D77" s="20" t="s">
        <v>215</v>
      </c>
      <c r="E77" s="21">
        <f ca="1">+E78-E75-E76</f>
        <v>966</v>
      </c>
      <c r="F77" s="21">
        <f t="shared" ref="F77:H77" ca="1" si="5">+F78-F75-F76</f>
        <v>966</v>
      </c>
      <c r="G77" s="21">
        <f t="shared" ca="1" si="5"/>
        <v>966</v>
      </c>
      <c r="H77" s="22">
        <f t="shared" ca="1" si="5"/>
        <v>966</v>
      </c>
    </row>
    <row r="78" spans="2:8" x14ac:dyDescent="0.35">
      <c r="B78" s="28"/>
      <c r="C78" s="29"/>
      <c r="D78" s="20" t="s">
        <v>216</v>
      </c>
      <c r="E78" s="21">
        <f ca="1">SUMIFS(Summary[Max],Summary[VisSum],"&gt;0",Summary[Type],C75)</f>
        <v>1848</v>
      </c>
      <c r="F78" s="21">
        <f ca="1">SUMIFS(Summary[Max],Summary[VisSum],"&gt;0",Summary[Type],C75)</f>
        <v>1848</v>
      </c>
      <c r="G78" s="21">
        <f ca="1">SUMIFS(Summary[Max],Summary[VisSum],"&gt;0",Summary[Type],C75)</f>
        <v>1848</v>
      </c>
      <c r="H78" s="22">
        <f ca="1">SUMIFS(Summary[Max],Summary[VisSum],"&gt;0",Summary[Type],C75)</f>
        <v>1848</v>
      </c>
    </row>
    <row r="79" spans="2:8" x14ac:dyDescent="0.35">
      <c r="B79" s="28"/>
      <c r="C79" s="29"/>
      <c r="D79" s="20" t="s">
        <v>218</v>
      </c>
      <c r="E79" s="21">
        <f ca="1">SUMIFS(Summary[Baseline],Summary[VisSum],"&gt;0",Summary[Type],C75,Summary[Status],"COVID")-(E80/2)</f>
        <v>211.14</v>
      </c>
      <c r="F79" s="21">
        <f ca="1">SUMIFS(Summary[Ramp Up],Summary[VisSum],"&gt;0",Summary[Type],C75,Summary[Status],"COVID")-(F80/2)</f>
        <v>336.14</v>
      </c>
      <c r="G79" s="21">
        <f ca="1">SUMIFS(Summary[Surge],Summary[VisSum],"&gt;0",Summary[Type],C75,Summary[Status],"COVID")-(G80/2)</f>
        <v>460.14</v>
      </c>
      <c r="H79" s="22">
        <f ca="1">SUMIFS(Summary[Next Up],Summary[VisSum],"&gt;0",Summary[Type],C75,Summary[Status],"COVID")-(H80/2)</f>
        <v>747.14</v>
      </c>
    </row>
    <row r="80" spans="2:8" x14ac:dyDescent="0.35">
      <c r="B80" s="28"/>
      <c r="C80" s="29"/>
      <c r="D80" s="20" t="s">
        <v>217</v>
      </c>
      <c r="E80" s="21">
        <f ca="1">+E78*0.015</f>
        <v>27.72</v>
      </c>
      <c r="F80" s="21">
        <f ca="1">+F78*0.015</f>
        <v>27.72</v>
      </c>
      <c r="G80" s="21">
        <f ca="1">+G78*0.015</f>
        <v>27.72</v>
      </c>
      <c r="H80" s="22">
        <f ca="1">+H78*0.015</f>
        <v>27.72</v>
      </c>
    </row>
    <row r="81" spans="2:8" x14ac:dyDescent="0.35">
      <c r="B81" s="28"/>
      <c r="C81" s="29"/>
      <c r="D81" s="20" t="s">
        <v>219</v>
      </c>
      <c r="E81" s="21">
        <f ca="1">SUM(E75:E78)-SUM(E79:E80)</f>
        <v>3457.14</v>
      </c>
      <c r="F81" s="21">
        <f ca="1">SUM(F75:F78)-SUM(F79:F80)</f>
        <v>3332.14</v>
      </c>
      <c r="G81" s="21">
        <f ca="1">SUM(G75:G78)-SUM(G79:G80)</f>
        <v>3208.14</v>
      </c>
      <c r="H81" s="22">
        <f ca="1">SUM(H75:H78)-SUM(H79:H80)</f>
        <v>2921.14</v>
      </c>
    </row>
    <row r="82" spans="2:8" x14ac:dyDescent="0.35">
      <c r="B82" s="28"/>
      <c r="C82" s="29"/>
      <c r="D82" s="20" t="s">
        <v>222</v>
      </c>
      <c r="E82" s="21" t="str">
        <f ca="1">TEXT(SUMIFS(Summary[Baseline],Summary[VisSum],"&gt;0",Summary[Type],C75,Summary[Status],"COVID"),"#,##0")</f>
        <v>225</v>
      </c>
      <c r="F82" s="21" t="str">
        <f ca="1">TEXT(SUMIFS(Summary[Ramp Up],Summary[VisSum],"&gt;0",Summary[Type],C75,Summary[Status],"COVID"),"#,##0")</f>
        <v>350</v>
      </c>
      <c r="G82" s="21" t="str">
        <f ca="1">TEXT(SUMIFS(Summary[Surge],Summary[VisSum],"&gt;0",Summary[Type],C75,Summary[Status],"COVID"),"#,##0")</f>
        <v>474</v>
      </c>
      <c r="H82" s="22" t="str">
        <f ca="1">TEXT(SUMIFS(Summary[Next Up],Summary[VisSum],"&gt;0",Summary[Type],C75,Summary[Status],"COVID"),"#,##0")</f>
        <v>761</v>
      </c>
    </row>
    <row r="83" spans="2:8" x14ac:dyDescent="0.35">
      <c r="B83" s="28"/>
      <c r="C83" s="29"/>
      <c r="D83" s="20" t="s">
        <v>220</v>
      </c>
      <c r="E83" s="21" t="str">
        <f ca="1">"Max COVID 
"&amp;TEXT(E75,"#,##0")&amp;" - "&amp;TEXT(SUMIFS(Summary[Baseline],Summary[VisSum],"&gt;0",Summary[Type],C75,Summary[Status],"COVID")/E75,"0.0%")</f>
        <v>Max COVID 
744 - 30.2%</v>
      </c>
      <c r="F83" s="21" t="str">
        <f ca="1">"Max COVID 
"&amp;TEXT(F75,"#,##0")&amp;" - "&amp;TEXT(SUMIFS(Summary[Ramp Up],Summary[VisSum],"&gt;0",Summary[Type],C75,Summary[Status],"COVID")/F75,"0.0%")</f>
        <v>Max COVID 
744 - 47.0%</v>
      </c>
      <c r="G83" s="21" t="str">
        <f ca="1">"Max COVID 
"&amp;TEXT(G75,"#,##0")&amp;" - "&amp;TEXT(SUMIFS(Summary[Surge],Summary[VisSum],"&gt;0",Summary[Type],C75,Summary[Status],"COVID")/G75,"0.0%")</f>
        <v>Max COVID 
744 - 63.7%</v>
      </c>
      <c r="H83" s="22" t="str">
        <f ca="1">"Max COVID 
"&amp;TEXT(H75,"#,##0")&amp;" - "&amp;TEXT(SUMIFS(Summary[Next Up],Summary[VisSum],"&gt;0",Summary[Type],C75,Summary[Status],"COVID")/H75,"0.0%")</f>
        <v>Max COVID 
744 - 102.3%</v>
      </c>
    </row>
    <row r="84" spans="2:8" x14ac:dyDescent="0.35">
      <c r="B84" s="28"/>
      <c r="C84" s="29"/>
      <c r="D84" s="39" t="s">
        <v>246</v>
      </c>
      <c r="E84" s="21" t="str">
        <f ca="1">"Crisis COVID 
"&amp;TEXT(E75+E76,"#,##0")&amp;" - "&amp;TEXT(SUMIFS(Summary[Baseline],Summary[VisSum],"&gt;0",Summary[Type],$C75,Summary[Status],"COVID")/(E75+E76),"0.0%")</f>
        <v>Crisis COVID 
882 - 25.5%</v>
      </c>
      <c r="F84" s="21" t="str">
        <f ca="1">"Crisis COVID 
"&amp;TEXT(F75+F76,"#,##0")&amp;" - "&amp;TEXT(SUMIFS(Summary[Ramp Up],Summary[VisSum],"&gt;0",Summary[Type],$C75,Summary[Status],"COVID")/(F75+F76),"0.0%")</f>
        <v>Crisis COVID 
882 - 39.7%</v>
      </c>
      <c r="G84" s="21" t="str">
        <f ca="1">"Crisis COVID 
"&amp;TEXT(G75+G76,"#,##0")&amp;" - "&amp;TEXT(SUMIFS(Summary[Surge],Summary[VisSum],"&gt;0",Summary[Type],$C75,Summary[Status],"COVID")/(G75+G76),"0.0%")</f>
        <v>Crisis COVID 
882 - 53.7%</v>
      </c>
      <c r="H84" s="22" t="str">
        <f ca="1">"Crisis COVID 
"&amp;TEXT(H75+H76,"#,##0")&amp;" - "&amp;TEXT(SUMIFS(Summary[Next Up],Summary[VisSum],"&gt;0",Summary[Type],$C75,Summary[Status],"COVID")/(H75+H76),"0.0%")</f>
        <v>Crisis COVID 
882 - 86.3%</v>
      </c>
    </row>
    <row r="85" spans="2:8" x14ac:dyDescent="0.35">
      <c r="B85" s="28"/>
      <c r="C85" s="29"/>
      <c r="D85" s="20" t="s">
        <v>221</v>
      </c>
      <c r="E85" s="21" t="str">
        <f ca="1">"All Beds
"&amp;TEXT(E78,"#,##0")&amp;" - "&amp;TEXT(SUMIFS(Summary[Baseline],Summary[VisSum],"&gt;0",Summary[Type],C75,Summary[Status],"COVID")/E78,"0.0%")</f>
        <v>All Beds
1,848 - 12.2%</v>
      </c>
      <c r="F85" s="21" t="str">
        <f ca="1">"All Beds
"&amp;TEXT(F78,"#,##0")&amp;" - "&amp;TEXT(SUMIFS(Summary[Ramp Up],Summary[VisSum],"&gt;0",Summary[Type],C75,Summary[Status],"COVID")/F78,"0.0%")</f>
        <v>All Beds
1,848 - 18.9%</v>
      </c>
      <c r="G85" s="21" t="str">
        <f ca="1">"All Beds
"&amp;TEXT(G78,"#,##0")&amp;" - "&amp;TEXT(SUMIFS(Summary[Surge],Summary[VisSum],"&gt;0",Summary[Type],C75,Summary[Status],"COVID")/G78,"0.0%")</f>
        <v>All Beds
1,848 - 25.6%</v>
      </c>
      <c r="H85" s="22" t="str">
        <f ca="1">"All Beds
"&amp;TEXT(H78,"#,##0")&amp;" - "&amp;TEXT(SUMIFS(Summary[Ramp Up],Summary[VisSum],"&gt;0",Summary[Type],C75,Summary[Status],"COVID")/H78,"0.0%")</f>
        <v>All Beds
1,848 - 18.9%</v>
      </c>
    </row>
    <row r="86" spans="2:8" ht="13.5" thickBot="1" x14ac:dyDescent="0.4">
      <c r="B86" s="30"/>
      <c r="C86" s="31"/>
      <c r="D86" s="23" t="s">
        <v>223</v>
      </c>
      <c r="E86" s="24" t="str">
        <f ca="1">"Total COVID
"&amp;TEXT(SUM(VALUE(E71),VALUE(E82)),"#,##0")</f>
        <v>Total COVID
327</v>
      </c>
      <c r="F86" s="24" t="str">
        <f ca="1">"Total COVID
"&amp;TEXT(SUM(VALUE(F71),VALUE(F82)),"#,##0")</f>
        <v>Total COVID
486</v>
      </c>
      <c r="G86" s="24" t="str">
        <f ca="1">"Total COVID
"&amp;TEXT(SUM(VALUE(G71),VALUE(G82)),"#,##0")</f>
        <v>Total COVID
716</v>
      </c>
      <c r="H86" s="25" t="str">
        <f ca="1">"Total COVID
"&amp;TEXT(SUM(VALUE(H71),VALUE(H82)),"#,##0")</f>
        <v>Total COVID
1,144</v>
      </c>
    </row>
    <row r="87" spans="2:8" x14ac:dyDescent="0.35">
      <c r="B87" s="26" t="s">
        <v>118</v>
      </c>
      <c r="C87" s="27" t="s">
        <v>23</v>
      </c>
      <c r="D87" s="17" t="s">
        <v>213</v>
      </c>
      <c r="E87" s="18">
        <f ca="1">SUMIFS(Summary[Max],Summary[Facility],B87,Summary[Type],C87,Summary[Status],"COVID")</f>
        <v>40</v>
      </c>
      <c r="F87" s="18">
        <f ca="1">SUMIFS(Summary[Max],Summary[Facility],B87,Summary[Type],C87,Summary[Status],"COVID")</f>
        <v>40</v>
      </c>
      <c r="G87" s="18">
        <f ca="1">SUMIFS(Summary[Max],Summary[Facility],B87,Summary[Type],C87,Summary[Status],"COVID")</f>
        <v>40</v>
      </c>
      <c r="H87" s="19">
        <f ca="1">SUMIFS(Summary[Max],Summary[Facility],B87,Summary[Type],C87,Summary[Status],"COVID")</f>
        <v>40</v>
      </c>
    </row>
    <row r="88" spans="2:8" x14ac:dyDescent="0.35">
      <c r="B88" s="28"/>
      <c r="C88" s="29"/>
      <c r="D88" s="39" t="s">
        <v>245</v>
      </c>
      <c r="E88" s="21">
        <f ca="1">SUMIFS(Summary[Max],Summary[Facility],B87,Summary[Type],C87,Summary[Status],"Crisis")</f>
        <v>0</v>
      </c>
      <c r="F88" s="21">
        <f ca="1">SUMIFS(Summary[Max],Summary[Facility],B87,Summary[Type],C87,Summary[Status],"Crisis")</f>
        <v>0</v>
      </c>
      <c r="G88" s="21">
        <f ca="1">SUMIFS(Summary[Max],Summary[Facility],B87,Summary[Type],C87,Summary[Status],"Crisis")</f>
        <v>0</v>
      </c>
      <c r="H88" s="22">
        <f ca="1">SUMIFS(Summary[Max],Summary[Facility],B87,Summary[Type],C87,Summary[Status],"Crisis")</f>
        <v>0</v>
      </c>
    </row>
    <row r="89" spans="2:8" x14ac:dyDescent="0.35">
      <c r="B89" s="28"/>
      <c r="C89" s="29"/>
      <c r="D89" s="20" t="s">
        <v>215</v>
      </c>
      <c r="E89" s="21">
        <f ca="1">+E90-E87-E88</f>
        <v>39</v>
      </c>
      <c r="F89" s="21">
        <f t="shared" ref="F89:H89" ca="1" si="6">+F90-F87-F88</f>
        <v>39</v>
      </c>
      <c r="G89" s="21">
        <f t="shared" ca="1" si="6"/>
        <v>39</v>
      </c>
      <c r="H89" s="22">
        <f t="shared" ca="1" si="6"/>
        <v>39</v>
      </c>
    </row>
    <row r="90" spans="2:8" x14ac:dyDescent="0.35">
      <c r="B90" s="28"/>
      <c r="C90" s="29"/>
      <c r="D90" s="20" t="s">
        <v>216</v>
      </c>
      <c r="E90" s="21">
        <f ca="1">SUMIFS(Summary[Max],Summary[Facility],B87,Summary[Type],C87)</f>
        <v>79</v>
      </c>
      <c r="F90" s="21">
        <f ca="1">SUMIFS(Summary[Max],Summary[Facility],B87,Summary[Type],C87)</f>
        <v>79</v>
      </c>
      <c r="G90" s="21">
        <f ca="1">SUMIFS(Summary[Max],Summary[Facility],B87,Summary[Type],C87)</f>
        <v>79</v>
      </c>
      <c r="H90" s="22">
        <f ca="1">SUMIFS(Summary[Max],Summary[Facility],B87,Summary[Type],C87)</f>
        <v>79</v>
      </c>
    </row>
    <row r="91" spans="2:8" x14ac:dyDescent="0.35">
      <c r="B91" s="28"/>
      <c r="C91" s="29"/>
      <c r="D91" s="20" t="s">
        <v>218</v>
      </c>
      <c r="E91" s="21">
        <f ca="1">SUMIFS(Summary[Baseline],Summary[Facility],B87,Summary[Type],C87,Summary[Status],"COVID")-(E92/2)</f>
        <v>15.407500000000001</v>
      </c>
      <c r="F91" s="21">
        <f ca="1">SUMIFS(Summary[Ramp Up],Summary[Facility],B87,Summary[Type],C87,Summary[Status],"COVID")-(F92/2)</f>
        <v>15.407500000000001</v>
      </c>
      <c r="G91" s="21">
        <f ca="1">SUMIFS(Summary[Surge],Summary[Facility],B87,Summary[Type],C87,Summary[Status],"COVID")-(G92/2)</f>
        <v>39.407499999999999</v>
      </c>
      <c r="H91" s="22">
        <f ca="1">SUMIFS(Summary[Next Up],Summary[Facility],B87,Summary[Type],C87,Summary[Status],"COVID")-(H92/2)</f>
        <v>39.407499999999999</v>
      </c>
    </row>
    <row r="92" spans="2:8" x14ac:dyDescent="0.35">
      <c r="B92" s="28"/>
      <c r="C92" s="29"/>
      <c r="D92" s="20" t="s">
        <v>217</v>
      </c>
      <c r="E92" s="21">
        <f ca="1">+E90*0.015</f>
        <v>1.1850000000000001</v>
      </c>
      <c r="F92" s="21">
        <f ca="1">+F90*0.015</f>
        <v>1.1850000000000001</v>
      </c>
      <c r="G92" s="21">
        <f ca="1">+G90*0.015</f>
        <v>1.1850000000000001</v>
      </c>
      <c r="H92" s="22">
        <f ca="1">+H90*0.015</f>
        <v>1.1850000000000001</v>
      </c>
    </row>
    <row r="93" spans="2:8" x14ac:dyDescent="0.35">
      <c r="B93" s="28"/>
      <c r="C93" s="29"/>
      <c r="D93" s="20" t="s">
        <v>219</v>
      </c>
      <c r="E93" s="21">
        <f ca="1">SUM(E87:E90)-SUM(E91:E92)</f>
        <v>141.4075</v>
      </c>
      <c r="F93" s="21">
        <f ca="1">SUM(F87:F90)-SUM(F91:F92)</f>
        <v>141.4075</v>
      </c>
      <c r="G93" s="21">
        <f ca="1">SUM(G87:G90)-SUM(G91:G92)</f>
        <v>117.4075</v>
      </c>
      <c r="H93" s="22">
        <f ca="1">SUM(H87:H90)-SUM(H91:H92)</f>
        <v>117.4075</v>
      </c>
    </row>
    <row r="94" spans="2:8" x14ac:dyDescent="0.35">
      <c r="B94" s="28"/>
      <c r="C94" s="29"/>
      <c r="D94" s="20" t="s">
        <v>222</v>
      </c>
      <c r="E94" s="21" t="str">
        <f ca="1">TEXT(SUMIFS(Summary[Baseline],Summary[Facility],B87,Summary[Type],C87,Summary[Status],"COVID"),"#,##0")</f>
        <v>16</v>
      </c>
      <c r="F94" s="21" t="str">
        <f ca="1">TEXT(SUMIFS(Summary[Ramp Up],Summary[Facility],B87,Summary[Type],C87,Summary[Status],"COVID"),"#,##0")</f>
        <v>16</v>
      </c>
      <c r="G94" s="21" t="str">
        <f ca="1">TEXT(SUMIFS(Summary[Surge],Summary[Facility],B87,Summary[Type],C87,Summary[Status],"COVID"),"#,##0")</f>
        <v>40</v>
      </c>
      <c r="H94" s="22" t="str">
        <f ca="1">TEXT(SUMIFS(Summary[Next Up],Summary[Facility],B87,Summary[Type],C87,Summary[Status],"COVID"),"#,##0")</f>
        <v>40</v>
      </c>
    </row>
    <row r="95" spans="2:8" x14ac:dyDescent="0.35">
      <c r="B95" s="28"/>
      <c r="C95" s="29"/>
      <c r="D95" s="20" t="s">
        <v>220</v>
      </c>
      <c r="E95" s="21" t="str">
        <f ca="1">"Max COVID 
"&amp;TEXT(E87,"#,##0")&amp;" - "&amp;TEXT(SUMIFS(Summary[Baseline],Summary[Facility],B87,Summary[Type],C87,Summary[Status],"COVID")/E87,"0.0%")</f>
        <v>Max COVID 
40 - 40.0%</v>
      </c>
      <c r="F95" s="21" t="str">
        <f ca="1">"Max COVID 
"&amp;TEXT(F87,"#,##0")&amp;" - "&amp;TEXT(SUMIFS(Summary[Ramp Up],Summary[Facility],B87,Summary[Type],C87,Summary[Status],"COVID")/F87,"0.0%")</f>
        <v>Max COVID 
40 - 40.0%</v>
      </c>
      <c r="G95" s="21" t="str">
        <f ca="1">"Max COVID 
"&amp;TEXT(G87,"#,##0")&amp;" - "&amp;TEXT(SUMIFS(Summary[Surge],Summary[Facility],B87,Summary[Type],C87,Summary[Status],"COVID")/G87,"0.0%")</f>
        <v>Max COVID 
40 - 100.0%</v>
      </c>
      <c r="H95" s="22" t="str">
        <f ca="1">"Max COVID 
"&amp;TEXT(H87,"#,##0")&amp;" - "&amp;TEXT(SUMIFS(Summary[Next Up],Summary[Facility],B87,Summary[Type],C87,Summary[Status],"COVID")/H87,"0.0%")</f>
        <v>Max COVID 
40 - 100.0%</v>
      </c>
    </row>
    <row r="96" spans="2:8" x14ac:dyDescent="0.35">
      <c r="B96" s="28"/>
      <c r="C96" s="29"/>
      <c r="D96" s="39" t="s">
        <v>246</v>
      </c>
      <c r="E96" s="21" t="str">
        <f ca="1">"Crisis COVID 
"&amp;TEXT(E88+E87,"#,##0")&amp;" - "&amp;TEXT(SUMIFS(Summary[Baseline],Summary[Facility],$B87,Summary[Type],$C87,Summary[Status],"COVID")/(E87+E88),"0.0%")</f>
        <v>Crisis COVID 
40 - 40.0%</v>
      </c>
      <c r="F96" s="21" t="str">
        <f ca="1">"Crisis COVID 
"&amp;TEXT(F88+F87,"#,##0")&amp;" - "&amp;TEXT(SUMIFS(Summary[Ramp Up],Summary[Facility],$B87,Summary[Type],$C87,Summary[Status],"COVID")/(F87+F88),"0.0%")</f>
        <v>Crisis COVID 
40 - 40.0%</v>
      </c>
      <c r="G96" s="21" t="str">
        <f ca="1">"Crisis COVID 
"&amp;TEXT(G88+G87,"#,##0")&amp;" - "&amp;TEXT(SUMIFS(Summary[Surge],Summary[Facility],$B87,Summary[Type],$C87,Summary[Status],"COVID")/(G87+G88),"0.0%")</f>
        <v>Crisis COVID 
40 - 100.0%</v>
      </c>
      <c r="H96" s="22" t="str">
        <f ca="1">"Crisis COVID 
"&amp;TEXT(H88+H87,"#,##0")&amp;" - "&amp;TEXT(SUMIFS(Summary[Next Up],Summary[Facility],$B87,Summary[Type],$C87,Summary[Status],"COVID")/(H87+H88),"0.0%")</f>
        <v>Crisis COVID 
40 - 100.0%</v>
      </c>
    </row>
    <row r="97" spans="2:8" x14ac:dyDescent="0.35">
      <c r="B97" s="28"/>
      <c r="C97" s="29"/>
      <c r="D97" s="20" t="s">
        <v>221</v>
      </c>
      <c r="E97" s="21" t="str">
        <f ca="1">"All Beds
"&amp;TEXT(E90,"#,##0")&amp;" - "&amp;TEXT(SUMIFS(Summary[Baseline],Summary[Facility],B87,Summary[Type],C87,Summary[Status],"COVID")/E90,"0.0%")</f>
        <v>All Beds
79 - 20.3%</v>
      </c>
      <c r="F97" s="21" t="str">
        <f ca="1">"All Beds
"&amp;TEXT(F90,"#,##0")&amp;" - "&amp;TEXT(SUMIFS(Summary[Ramp Up],Summary[Facility],B87,Summary[Type],C87,Summary[Status],"COVID")/F90,"0.0%")</f>
        <v>All Beds
79 - 20.3%</v>
      </c>
      <c r="G97" s="21" t="str">
        <f ca="1">"All Beds
"&amp;TEXT(G90,"#,##0")&amp;" - "&amp;TEXT(SUMIFS(Summary[Surge],Summary[Facility],B87,Summary[Type],C87,Summary[Status],"COVID")/G90,"0.0%")</f>
        <v>All Beds
79 - 50.6%</v>
      </c>
      <c r="H97" s="22" t="str">
        <f ca="1">"All Beds
"&amp;TEXT(H90,"#,##0")&amp;" - "&amp;TEXT(SUMIFS(Summary[Next Up],Summary[Facility],B87,Summary[Type],C87,Summary[Status],"COVID")/H90,"0.0%")</f>
        <v>All Beds
79 - 50.6%</v>
      </c>
    </row>
    <row r="98" spans="2:8" x14ac:dyDescent="0.35">
      <c r="B98" s="28"/>
      <c r="C98" s="29" t="s">
        <v>19</v>
      </c>
      <c r="D98" s="20" t="s">
        <v>213</v>
      </c>
      <c r="E98" s="21">
        <f ca="1">SUMIFS(Summary[Max],Summary[Facility],B87,Summary[Type],C98,Summary[Status],"COVID")</f>
        <v>143</v>
      </c>
      <c r="F98" s="21">
        <f ca="1">SUMIFS(Summary[Max],Summary[Facility],B87,Summary[Type],C98,Summary[Status],"COVID")</f>
        <v>143</v>
      </c>
      <c r="G98" s="21">
        <f ca="1">SUMIFS(Summary[Max],Summary[Facility],B87,Summary[Type],C98,Summary[Status],"COVID")</f>
        <v>143</v>
      </c>
      <c r="H98" s="22">
        <f ca="1">SUMIFS(Summary[Max],Summary[Facility],B87,Summary[Type],C98,Summary[Status],"COVID")</f>
        <v>143</v>
      </c>
    </row>
    <row r="99" spans="2:8" x14ac:dyDescent="0.35">
      <c r="B99" s="28"/>
      <c r="C99" s="29"/>
      <c r="D99" s="39" t="s">
        <v>245</v>
      </c>
      <c r="E99" s="21">
        <f ca="1">SUMIFS(Summary[Max],Summary[Facility],B87,Summary[Type],C98,Summary[Status],"Crisis")</f>
        <v>0</v>
      </c>
      <c r="F99" s="21">
        <f ca="1">SUMIFS(Summary[Max],Summary[Facility],B87,Summary[Type],C98,Summary[Status],"Crisis")</f>
        <v>0</v>
      </c>
      <c r="G99" s="21">
        <f ca="1">SUMIFS(Summary[Max],Summary[Facility],B87,Summary[Type],C98,Summary[Status],"Crisis")</f>
        <v>0</v>
      </c>
      <c r="H99" s="22">
        <f ca="1">SUMIFS(Summary[Max],Summary[Facility],B87,Summary[Type],C98,Summary[Status],"Crisis")</f>
        <v>0</v>
      </c>
    </row>
    <row r="100" spans="2:8" x14ac:dyDescent="0.35">
      <c r="B100" s="28"/>
      <c r="C100" s="29"/>
      <c r="D100" s="20" t="s">
        <v>215</v>
      </c>
      <c r="E100" s="21">
        <f ca="1">+E101-E98-E99</f>
        <v>79</v>
      </c>
      <c r="F100" s="21">
        <f t="shared" ref="F100" ca="1" si="7">+F101-F98-F99</f>
        <v>79</v>
      </c>
      <c r="G100" s="21">
        <f t="shared" ref="G100" ca="1" si="8">+G101-G98-G99</f>
        <v>79</v>
      </c>
      <c r="H100" s="22">
        <f t="shared" ref="H100" ca="1" si="9">+H101-H98-H99</f>
        <v>79</v>
      </c>
    </row>
    <row r="101" spans="2:8" x14ac:dyDescent="0.35">
      <c r="B101" s="28"/>
      <c r="C101" s="29"/>
      <c r="D101" s="20" t="s">
        <v>216</v>
      </c>
      <c r="E101" s="21">
        <f ca="1">SUMIFS(Summary[Max],Summary[Facility],B87,Summary[Type],C98)</f>
        <v>222</v>
      </c>
      <c r="F101" s="21">
        <f ca="1">SUMIFS(Summary[Max],Summary[Facility],B87,Summary[Type],C98)</f>
        <v>222</v>
      </c>
      <c r="G101" s="21">
        <f ca="1">SUMIFS(Summary[Max],Summary[Facility],B87,Summary[Type],C98)</f>
        <v>222</v>
      </c>
      <c r="H101" s="22">
        <f ca="1">SUMIFS(Summary[Max],Summary[Facility],B87,Summary[Type],C98)</f>
        <v>222</v>
      </c>
    </row>
    <row r="102" spans="2:8" x14ac:dyDescent="0.35">
      <c r="B102" s="28"/>
      <c r="C102" s="29"/>
      <c r="D102" s="20" t="s">
        <v>218</v>
      </c>
      <c r="E102" s="21">
        <f ca="1">SUMIFS(Summary[Baseline],Summary[Facility],B87,Summary[Type],C98,Summary[Status],"COVID")-(E103/2)</f>
        <v>57.335000000000001</v>
      </c>
      <c r="F102" s="21">
        <f ca="1">SUMIFS(Summary[Ramp Up],Summary[Facility],B87,Summary[Type],C98,Summary[Status],"COVID")-(F103/2)</f>
        <v>87.334999999999994</v>
      </c>
      <c r="G102" s="21">
        <f ca="1">SUMIFS(Summary[Surge],Summary[Facility],B87,Summary[Type],C98,Summary[Status],"COVID")-(G103/2)</f>
        <v>117.33499999999999</v>
      </c>
      <c r="H102" s="22">
        <f ca="1">SUMIFS(Summary[Next Up],Summary[Facility],B87,Summary[Type],C98,Summary[Status],"COVID")-(H103/2)</f>
        <v>137.33500000000001</v>
      </c>
    </row>
    <row r="103" spans="2:8" x14ac:dyDescent="0.35">
      <c r="B103" s="28"/>
      <c r="C103" s="29"/>
      <c r="D103" s="20" t="s">
        <v>217</v>
      </c>
      <c r="E103" s="21">
        <f ca="1">+E101*0.015</f>
        <v>3.33</v>
      </c>
      <c r="F103" s="21">
        <f ca="1">+F101*0.015</f>
        <v>3.33</v>
      </c>
      <c r="G103" s="21">
        <f ca="1">+G101*0.015</f>
        <v>3.33</v>
      </c>
      <c r="H103" s="22">
        <f ca="1">+H101*0.015</f>
        <v>3.33</v>
      </c>
    </row>
    <row r="104" spans="2:8" x14ac:dyDescent="0.35">
      <c r="B104" s="28"/>
      <c r="C104" s="29"/>
      <c r="D104" s="20" t="s">
        <v>219</v>
      </c>
      <c r="E104" s="21">
        <f ca="1">SUM(E98:E101)-SUM(E102:E103)</f>
        <v>383.33499999999998</v>
      </c>
      <c r="F104" s="21">
        <f ca="1">SUM(F98:F101)-SUM(F102:F103)</f>
        <v>353.33500000000004</v>
      </c>
      <c r="G104" s="21">
        <f ca="1">SUM(G98:G101)-SUM(G102:G103)</f>
        <v>323.33500000000004</v>
      </c>
      <c r="H104" s="22">
        <f ca="1">SUM(H98:H101)-SUM(H102:H103)</f>
        <v>303.33499999999998</v>
      </c>
    </row>
    <row r="105" spans="2:8" x14ac:dyDescent="0.35">
      <c r="B105" s="28"/>
      <c r="C105" s="29"/>
      <c r="D105" s="20" t="s">
        <v>222</v>
      </c>
      <c r="E105" s="21" t="str">
        <f ca="1">TEXT(SUMIFS(Summary[Baseline],Summary[Facility],B87,Summary[Type],C98,Summary[Status],"COVID"),"#,##0")</f>
        <v>59</v>
      </c>
      <c r="F105" s="21" t="str">
        <f ca="1">TEXT(SUMIFS(Summary[Ramp Up],Summary[Facility],B87,Summary[Type],C98,Summary[Status],"COVID"),"#,##0")</f>
        <v>89</v>
      </c>
      <c r="G105" s="21" t="str">
        <f ca="1">TEXT(SUMIFS(Summary[Surge],Summary[Facility],B87,Summary[Type],C98,Summary[Status],"COVID"),"#,##0")</f>
        <v>119</v>
      </c>
      <c r="H105" s="22" t="str">
        <f ca="1">TEXT(SUMIFS(Summary[Next Up],Summary[Facility],B87,Summary[Type],C98,Summary[Status],"COVID"),"#,##0")</f>
        <v>139</v>
      </c>
    </row>
    <row r="106" spans="2:8" x14ac:dyDescent="0.35">
      <c r="B106" s="28"/>
      <c r="C106" s="29"/>
      <c r="D106" s="20" t="s">
        <v>220</v>
      </c>
      <c r="E106" s="21" t="str">
        <f ca="1">"Max COVID 
"&amp;TEXT(E98,"#,##0")&amp;" - "&amp;TEXT(SUMIFS(Summary[Baseline],Summary[Facility],B87,Summary[Type],C98,Summary[Status],"COVID")/E98,"0.0%")</f>
        <v>Max COVID 
143 - 41.3%</v>
      </c>
      <c r="F106" s="21" t="str">
        <f ca="1">"Max COVID 
"&amp;TEXT(F98,"#,##0")&amp;" - "&amp;TEXT(SUMIFS(Summary[Ramp Up],Summary[Facility],B87,Summary[Type],C98,Summary[Status],"COVID")/F98,"0.0%")</f>
        <v>Max COVID 
143 - 62.2%</v>
      </c>
      <c r="G106" s="21" t="str">
        <f ca="1">"Max COVID 
"&amp;TEXT(G98,"#,##0")&amp;" - "&amp;TEXT(SUMIFS(Summary[Surge],Summary[Facility],B87,Summary[Type],C98,Summary[Status],"COVID")/G98,"0.0%")</f>
        <v>Max COVID 
143 - 83.2%</v>
      </c>
      <c r="H106" s="22" t="str">
        <f ca="1">"Max COVID 
"&amp;TEXT(H98,"#,##0")&amp;" - "&amp;TEXT(SUMIFS(Summary[Next Up],Summary[Facility],B87,Summary[Type],C98,Summary[Status],"COVID")/H98,"0.0%")</f>
        <v>Max COVID 
143 - 97.2%</v>
      </c>
    </row>
    <row r="107" spans="2:8" x14ac:dyDescent="0.35">
      <c r="B107" s="28"/>
      <c r="C107" s="29"/>
      <c r="D107" s="39" t="s">
        <v>246</v>
      </c>
      <c r="E107" s="21" t="str">
        <f ca="1">"Crisis COVID 
"&amp;TEXT(+E98+E99,"#,##0")&amp;" - "&amp;TEXT(SUMIFS(Summary[Baseline],Summary[Facility],$B87,Summary[Type],$C98,Summary[Status],"COVID")/(E98+E99),"0.0%")</f>
        <v>Crisis COVID 
143 - 41.3%</v>
      </c>
      <c r="F107" s="21" t="str">
        <f ca="1">"Crisis COVID 
"&amp;TEXT(+F98+F99,"#,##0")&amp;" - "&amp;TEXT(SUMIFS(Summary[Ramp Up],Summary[Facility],$B87,Summary[Type],$C98,Summary[Status],"COVID")/(F98+F99),"0.0%")</f>
        <v>Crisis COVID 
143 - 62.2%</v>
      </c>
      <c r="G107" s="21" t="str">
        <f ca="1">"Crisis COVID 
"&amp;TEXT(+G98+G99,"#,##0")&amp;" - "&amp;TEXT(SUMIFS(Summary[Surge],Summary[Facility],$B87,Summary[Type],$C98,Summary[Status],"COVID")/(G98+G99),"0.0%")</f>
        <v>Crisis COVID 
143 - 83.2%</v>
      </c>
      <c r="H107" s="22" t="str">
        <f ca="1">"Crisis COVID 
"&amp;TEXT(+H98+H99,"#,##0")&amp;" - "&amp;TEXT(SUMIFS(Summary[Next Up],Summary[Facility],$B87,Summary[Type],$C98,Summary[Status],"COVID")/(H98+H99),"0.0%")</f>
        <v>Crisis COVID 
143 - 97.2%</v>
      </c>
    </row>
    <row r="108" spans="2:8" x14ac:dyDescent="0.35">
      <c r="B108" s="28"/>
      <c r="C108" s="29"/>
      <c r="D108" s="20" t="s">
        <v>221</v>
      </c>
      <c r="E108" s="21" t="str">
        <f ca="1">"All Beds
"&amp;TEXT(E101,"#,##0")&amp;" - "&amp;TEXT(SUMIFS(Summary[Baseline],Summary[Facility],B87,Summary[Type],C98,Summary[Status],"COVID")/E101,"0.0%")</f>
        <v>All Beds
222 - 26.6%</v>
      </c>
      <c r="F108" s="21" t="str">
        <f ca="1">"All Beds
"&amp;TEXT(F101,"#,##0")&amp;" - "&amp;TEXT(SUMIFS(Summary[Ramp Up],Summary[Facility],B87,Summary[Type],C98,Summary[Status],"COVID")/F101,"0.0%")</f>
        <v>All Beds
222 - 40.1%</v>
      </c>
      <c r="G108" s="21" t="str">
        <f ca="1">"All Beds
"&amp;TEXT(G101,"#,##0")&amp;" - "&amp;TEXT(SUMIFS(Summary[Surge],Summary[Facility],B87,Summary[Type],C98,Summary[Status],"COVID")/G101,"0.0%")</f>
        <v>All Beds
222 - 53.6%</v>
      </c>
      <c r="H108" s="22" t="str">
        <f ca="1">"All Beds
"&amp;TEXT(H101,"#,##0")&amp;" - "&amp;TEXT(SUMIFS(Summary[Next Up],Summary[Facility],B87,Summary[Type],C98,Summary[Status],"COVID")/H101,"0.0%")</f>
        <v>All Beds
222 - 62.6%</v>
      </c>
    </row>
    <row r="109" spans="2:8" ht="13.5" thickBot="1" x14ac:dyDescent="0.4">
      <c r="B109" s="30"/>
      <c r="C109" s="31"/>
      <c r="D109" s="23" t="s">
        <v>223</v>
      </c>
      <c r="E109" s="24" t="str">
        <f ca="1">"Total COVID
"&amp;TEXT(SUM(VALUE(E94),VALUE(E105)),"#,##0")</f>
        <v>Total COVID
75</v>
      </c>
      <c r="F109" s="24" t="str">
        <f ca="1">"Total COVID
"&amp;TEXT(SUM(VALUE(F94),VALUE(F105)),"#,##0")</f>
        <v>Total COVID
105</v>
      </c>
      <c r="G109" s="24" t="str">
        <f ca="1">"Total COVID
"&amp;TEXT(SUM(VALUE(G94),VALUE(G105)),"#,##0")</f>
        <v>Total COVID
159</v>
      </c>
      <c r="H109" s="25" t="str">
        <f ca="1">"Total COVID
"&amp;TEXT(SUM(VALUE(H94),VALUE(H105)),"#,##0")</f>
        <v>Total COVID
179</v>
      </c>
    </row>
    <row r="110" spans="2:8" x14ac:dyDescent="0.35">
      <c r="B110" s="26" t="s">
        <v>88</v>
      </c>
      <c r="C110" s="27" t="s">
        <v>23</v>
      </c>
      <c r="D110" s="17" t="s">
        <v>213</v>
      </c>
      <c r="E110" s="18">
        <f ca="1">SUMIFS(Summary[Max],Summary[Facility],B110,Summary[Type],C110,Summary[Status],"COVID")</f>
        <v>34</v>
      </c>
      <c r="F110" s="18">
        <f ca="1">SUMIFS(Summary[Max],Summary[Facility],B110,Summary[Type],C110,Summary[Status],"COVID")</f>
        <v>34</v>
      </c>
      <c r="G110" s="18">
        <f ca="1">SUMIFS(Summary[Max],Summary[Facility],B110,Summary[Type],C110,Summary[Status],"COVID")</f>
        <v>34</v>
      </c>
      <c r="H110" s="19">
        <f ca="1">SUMIFS(Summary[Max],Summary[Facility],B110,Summary[Type],C110,Summary[Status],"COVID")</f>
        <v>34</v>
      </c>
    </row>
    <row r="111" spans="2:8" x14ac:dyDescent="0.35">
      <c r="B111" s="28"/>
      <c r="C111" s="29"/>
      <c r="D111" s="39" t="s">
        <v>245</v>
      </c>
      <c r="E111" s="21">
        <f ca="1">SUMIFS(Summary[Max],Summary[Facility],B110,Summary[Type],C110,Summary[Status],"Crisis")</f>
        <v>0</v>
      </c>
      <c r="F111" s="21">
        <f ca="1">SUMIFS(Summary[Max],Summary[Facility],B110,Summary[Type],C110,Summary[Status],"Crisis")</f>
        <v>0</v>
      </c>
      <c r="G111" s="21">
        <f ca="1">SUMIFS(Summary[Max],Summary[Facility],B110,Summary[Type],C110,Summary[Status],"Crisis")</f>
        <v>0</v>
      </c>
      <c r="H111" s="22">
        <f ca="1">SUMIFS(Summary[Max],Summary[Facility],B110,Summary[Type],C110,Summary[Status],"Crisis")</f>
        <v>0</v>
      </c>
    </row>
    <row r="112" spans="2:8" x14ac:dyDescent="0.35">
      <c r="B112" s="28"/>
      <c r="C112" s="29"/>
      <c r="D112" s="20" t="s">
        <v>215</v>
      </c>
      <c r="E112" s="21">
        <f ca="1">+E113-E110-E111</f>
        <v>38</v>
      </c>
      <c r="F112" s="21">
        <f t="shared" ref="F112" ca="1" si="10">+F113-F110-F111</f>
        <v>38</v>
      </c>
      <c r="G112" s="21">
        <f t="shared" ref="G112" ca="1" si="11">+G113-G110-G111</f>
        <v>38</v>
      </c>
      <c r="H112" s="22">
        <f t="shared" ref="H112" ca="1" si="12">+H113-H110-H111</f>
        <v>38</v>
      </c>
    </row>
    <row r="113" spans="2:8" x14ac:dyDescent="0.35">
      <c r="B113" s="28"/>
      <c r="C113" s="29"/>
      <c r="D113" s="20" t="s">
        <v>216</v>
      </c>
      <c r="E113" s="21">
        <f ca="1">SUMIFS(Summary[Max],Summary[Facility],B110,Summary[Type],C110)</f>
        <v>72</v>
      </c>
      <c r="F113" s="21">
        <f ca="1">SUMIFS(Summary[Max],Summary[Facility],B110,Summary[Type],C110)</f>
        <v>72</v>
      </c>
      <c r="G113" s="21">
        <f ca="1">SUMIFS(Summary[Max],Summary[Facility],B110,Summary[Type],C110)</f>
        <v>72</v>
      </c>
      <c r="H113" s="22">
        <f ca="1">SUMIFS(Summary[Max],Summary[Facility],B110,Summary[Type],C110)</f>
        <v>72</v>
      </c>
    </row>
    <row r="114" spans="2:8" x14ac:dyDescent="0.35">
      <c r="B114" s="28"/>
      <c r="C114" s="29"/>
      <c r="D114" s="20" t="s">
        <v>218</v>
      </c>
      <c r="E114" s="21">
        <f ca="1">SUMIFS(Summary[Baseline],Summary[Facility],B110,Summary[Type],C110,Summary[Status],"COVID")-(E115/2)</f>
        <v>11.46</v>
      </c>
      <c r="F114" s="21">
        <f ca="1">SUMIFS(Summary[Ramp Up],Summary[Facility],B110,Summary[Type],C110,Summary[Status],"COVID")-(F115/2)</f>
        <v>11.46</v>
      </c>
      <c r="G114" s="21">
        <f ca="1">SUMIFS(Summary[Surge],Summary[Facility],B110,Summary[Type],C110,Summary[Status],"COVID")-(G115/2)</f>
        <v>11.46</v>
      </c>
      <c r="H114" s="22">
        <f ca="1">SUMIFS(Summary[Next Up],Summary[Facility],B110,Summary[Type],C110,Summary[Status],"COVID")-(H115/2)</f>
        <v>11.46</v>
      </c>
    </row>
    <row r="115" spans="2:8" x14ac:dyDescent="0.35">
      <c r="B115" s="28"/>
      <c r="C115" s="29"/>
      <c r="D115" s="20" t="s">
        <v>217</v>
      </c>
      <c r="E115" s="21">
        <f ca="1">+E113*0.015</f>
        <v>1.08</v>
      </c>
      <c r="F115" s="21">
        <f ca="1">+F113*0.015</f>
        <v>1.08</v>
      </c>
      <c r="G115" s="21">
        <f ca="1">+G113*0.015</f>
        <v>1.08</v>
      </c>
      <c r="H115" s="22">
        <f ca="1">+H113*0.015</f>
        <v>1.08</v>
      </c>
    </row>
    <row r="116" spans="2:8" x14ac:dyDescent="0.35">
      <c r="B116" s="28"/>
      <c r="C116" s="29"/>
      <c r="D116" s="20" t="s">
        <v>219</v>
      </c>
      <c r="E116" s="21">
        <f ca="1">SUM(E110:E113)-SUM(E114:E115)</f>
        <v>131.46</v>
      </c>
      <c r="F116" s="21">
        <f ca="1">SUM(F110:F113)-SUM(F114:F115)</f>
        <v>131.46</v>
      </c>
      <c r="G116" s="21">
        <f ca="1">SUM(G110:G113)-SUM(G114:G115)</f>
        <v>131.46</v>
      </c>
      <c r="H116" s="22">
        <f ca="1">SUM(H110:H113)-SUM(H114:H115)</f>
        <v>131.46</v>
      </c>
    </row>
    <row r="117" spans="2:8" x14ac:dyDescent="0.35">
      <c r="B117" s="28"/>
      <c r="C117" s="29"/>
      <c r="D117" s="20" t="s">
        <v>222</v>
      </c>
      <c r="E117" s="21" t="str">
        <f ca="1">TEXT(SUMIFS(Summary[Baseline],Summary[Facility],B110,Summary[Type],C110,Summary[Status],"COVID"),"#,##0")</f>
        <v>12</v>
      </c>
      <c r="F117" s="21" t="str">
        <f ca="1">TEXT(SUMIFS(Summary[Ramp Up],Summary[Facility],B110,Summary[Type],C110,Summary[Status],"COVID"),"#,##0")</f>
        <v>12</v>
      </c>
      <c r="G117" s="21" t="str">
        <f ca="1">TEXT(SUMIFS(Summary[Surge],Summary[Facility],B110,Summary[Type],C110,Summary[Status],"COVID"),"#,##0")</f>
        <v>12</v>
      </c>
      <c r="H117" s="22" t="str">
        <f ca="1">TEXT(SUMIFS(Summary[Next Up],Summary[Facility],B110,Summary[Type],C110,Summary[Status],"COVID"),"#,##0")</f>
        <v>12</v>
      </c>
    </row>
    <row r="118" spans="2:8" x14ac:dyDescent="0.35">
      <c r="B118" s="28"/>
      <c r="C118" s="29"/>
      <c r="D118" s="20" t="s">
        <v>220</v>
      </c>
      <c r="E118" s="21" t="str">
        <f ca="1">"Max COVID 
"&amp;TEXT(E110,"#,##0")&amp;" - "&amp;TEXT(SUMIFS(Summary[Baseline],Summary[Facility],B110,Summary[Type],C110,Summary[Status],"COVID")/E110,"0.0%")</f>
        <v>Max COVID 
34 - 35.3%</v>
      </c>
      <c r="F118" s="21" t="str">
        <f ca="1">"Max COVID 
"&amp;TEXT(F110,"#,##0")&amp;" - "&amp;TEXT(SUMIFS(Summary[Ramp Up],Summary[Facility],B110,Summary[Type],C110,Summary[Status],"COVID")/F110,"0.0%")</f>
        <v>Max COVID 
34 - 35.3%</v>
      </c>
      <c r="G118" s="21" t="str">
        <f ca="1">"Max COVID 
"&amp;TEXT(G110,"#,##0")&amp;" - "&amp;TEXT(SUMIFS(Summary[Surge],Summary[Facility],B110,Summary[Type],C110,Summary[Status],"COVID")/G110,"0.0%")</f>
        <v>Max COVID 
34 - 35.3%</v>
      </c>
      <c r="H118" s="22" t="str">
        <f ca="1">"Max COVID 
"&amp;TEXT(H110,"#,##0")&amp;" - "&amp;TEXT(SUMIFS(Summary[Next Up],Summary[Facility],B110,Summary[Type],C110,Summary[Status],"COVID")/H110,"0.0%")</f>
        <v>Max COVID 
34 - 35.3%</v>
      </c>
    </row>
    <row r="119" spans="2:8" x14ac:dyDescent="0.35">
      <c r="B119" s="28"/>
      <c r="C119" s="29"/>
      <c r="D119" s="39" t="s">
        <v>246</v>
      </c>
      <c r="E119" s="21" t="str">
        <f ca="1">"Crisis COVID 
"&amp;TEXT(E111+E110,"#,##0")&amp;" - "&amp;TEXT(SUMIFS(Summary[Baseline],Summary[Facility],$B110,Summary[Type],$C110,Summary[Status],"COVID")/(E110+E111),"0.0%")</f>
        <v>Crisis COVID 
34 - 35.3%</v>
      </c>
      <c r="F119" s="21" t="str">
        <f ca="1">"Crisis COVID 
"&amp;TEXT(F111+F110,"#,##0")&amp;" - "&amp;TEXT(SUMIFS(Summary[Ramp Up],Summary[Facility],$B110,Summary[Type],$C110,Summary[Status],"COVID")/(F110+F111),"0.0%")</f>
        <v>Crisis COVID 
34 - 35.3%</v>
      </c>
      <c r="G119" s="21" t="str">
        <f ca="1">"Crisis COVID 
"&amp;TEXT(G111+G110,"#,##0")&amp;" - "&amp;TEXT(SUMIFS(Summary[Surge],Summary[Facility],$B110,Summary[Type],$C110,Summary[Status],"COVID")/(G110+G111),"0.0%")</f>
        <v>Crisis COVID 
34 - 35.3%</v>
      </c>
      <c r="H119" s="22" t="str">
        <f ca="1">"Crisis COVID 
"&amp;TEXT(H111+H110,"#,##0")&amp;" - "&amp;TEXT(SUMIFS(Summary[Next Up],Summary[Facility],$B110,Summary[Type],$C110,Summary[Status],"COVID")/(H110+H111),"0.0%")</f>
        <v>Crisis COVID 
34 - 35.3%</v>
      </c>
    </row>
    <row r="120" spans="2:8" x14ac:dyDescent="0.35">
      <c r="B120" s="28"/>
      <c r="C120" s="29"/>
      <c r="D120" s="20" t="s">
        <v>221</v>
      </c>
      <c r="E120" s="21" t="str">
        <f ca="1">"All Beds
"&amp;TEXT(E113,"#,##0")&amp;" - "&amp;TEXT(SUMIFS(Summary[Baseline],Summary[Facility],B110,Summary[Type],C110,Summary[Status],"COVID")/E113,"0.0%")</f>
        <v>All Beds
72 - 16.7%</v>
      </c>
      <c r="F120" s="21" t="str">
        <f ca="1">"All Beds
"&amp;TEXT(F113,"#,##0")&amp;" - "&amp;TEXT(SUMIFS(Summary[Ramp Up],Summary[Facility],B110,Summary[Type],C110,Summary[Status],"COVID")/F113,"0.0%")</f>
        <v>All Beds
72 - 16.7%</v>
      </c>
      <c r="G120" s="21" t="str">
        <f ca="1">"All Beds
"&amp;TEXT(G113,"#,##0")&amp;" - "&amp;TEXT(SUMIFS(Summary[Surge],Summary[Facility],B110,Summary[Type],C110,Summary[Status],"COVID")/G113,"0.0%")</f>
        <v>All Beds
72 - 16.7%</v>
      </c>
      <c r="H120" s="22" t="str">
        <f ca="1">"All Beds
"&amp;TEXT(H113,"#,##0")&amp;" - "&amp;TEXT(SUMIFS(Summary[Next Up],Summary[Facility],B110,Summary[Type],C110,Summary[Status],"COVID")/H113,"0.0%")</f>
        <v>All Beds
72 - 16.7%</v>
      </c>
    </row>
    <row r="121" spans="2:8" x14ac:dyDescent="0.35">
      <c r="B121" s="28"/>
      <c r="C121" s="29" t="s">
        <v>19</v>
      </c>
      <c r="D121" s="20" t="s">
        <v>213</v>
      </c>
      <c r="E121" s="21">
        <f ca="1">SUMIFS(Summary[Max],Summary[Facility],B110,Summary[Type],C121,Summary[Status],"COVID")</f>
        <v>60</v>
      </c>
      <c r="F121" s="21">
        <f ca="1">SUMIFS(Summary[Max],Summary[Facility],B110,Summary[Type],C121,Summary[Status],"COVID")</f>
        <v>60</v>
      </c>
      <c r="G121" s="21">
        <f ca="1">SUMIFS(Summary[Max],Summary[Facility],B110,Summary[Type],C121,Summary[Status],"COVID")</f>
        <v>60</v>
      </c>
      <c r="H121" s="22">
        <f ca="1">SUMIFS(Summary[Max],Summary[Facility],B110,Summary[Type],C121,Summary[Status],"COVID")</f>
        <v>60</v>
      </c>
    </row>
    <row r="122" spans="2:8" x14ac:dyDescent="0.35">
      <c r="B122" s="28"/>
      <c r="C122" s="29"/>
      <c r="D122" s="39" t="s">
        <v>245</v>
      </c>
      <c r="E122" s="21">
        <f ca="1">SUMIFS(Summary[Max],Summary[Facility],B110,Summary[Type],C121,Summary[Status],"Crisis")</f>
        <v>0</v>
      </c>
      <c r="F122" s="21">
        <f ca="1">SUMIFS(Summary[Max],Summary[Facility],B110,Summary[Type],C121,Summary[Status],"Crisis")</f>
        <v>0</v>
      </c>
      <c r="G122" s="21">
        <f ca="1">SUMIFS(Summary[Max],Summary[Facility],B110,Summary[Type],C121,Summary[Status],"Crisis")</f>
        <v>0</v>
      </c>
      <c r="H122" s="22">
        <f ca="1">SUMIFS(Summary[Max],Summary[Facility],B110,Summary[Type],C121,Summary[Status],"Crisis")</f>
        <v>0</v>
      </c>
    </row>
    <row r="123" spans="2:8" x14ac:dyDescent="0.35">
      <c r="B123" s="28"/>
      <c r="C123" s="29"/>
      <c r="D123" s="20" t="s">
        <v>215</v>
      </c>
      <c r="E123" s="21">
        <f ca="1">+E124-E121-E122</f>
        <v>249</v>
      </c>
      <c r="F123" s="21">
        <f t="shared" ref="F123" ca="1" si="13">+F124-F121-F122</f>
        <v>249</v>
      </c>
      <c r="G123" s="21">
        <f t="shared" ref="G123" ca="1" si="14">+G124-G121-G122</f>
        <v>249</v>
      </c>
      <c r="H123" s="22">
        <f t="shared" ref="H123" ca="1" si="15">+H124-H121-H122</f>
        <v>249</v>
      </c>
    </row>
    <row r="124" spans="2:8" x14ac:dyDescent="0.35">
      <c r="B124" s="28"/>
      <c r="C124" s="29"/>
      <c r="D124" s="20" t="s">
        <v>216</v>
      </c>
      <c r="E124" s="21">
        <f ca="1">SUMIFS(Summary[Max],Summary[Facility],B110,Summary[Type],C121)</f>
        <v>309</v>
      </c>
      <c r="F124" s="21">
        <f ca="1">SUMIFS(Summary[Max],Summary[Facility],B110,Summary[Type],C121)</f>
        <v>309</v>
      </c>
      <c r="G124" s="21">
        <f ca="1">SUMIFS(Summary[Max],Summary[Facility],B110,Summary[Type],C121)</f>
        <v>309</v>
      </c>
      <c r="H124" s="22">
        <f ca="1">SUMIFS(Summary[Max],Summary[Facility],B110,Summary[Type],C121)</f>
        <v>309</v>
      </c>
    </row>
    <row r="125" spans="2:8" x14ac:dyDescent="0.35">
      <c r="B125" s="28"/>
      <c r="C125" s="29"/>
      <c r="D125" s="20" t="s">
        <v>218</v>
      </c>
      <c r="E125" s="21">
        <f ca="1">SUMIFS(Summary[Baseline],Summary[Facility],B110,Summary[Type],C121,Summary[Status],"COVID")-(E126/2)</f>
        <v>27.682500000000001</v>
      </c>
      <c r="F125" s="21">
        <f ca="1">SUMIFS(Summary[Ramp Up],Summary[Facility],B110,Summary[Type],C121,Summary[Status],"COVID")-(F126/2)</f>
        <v>57.682499999999997</v>
      </c>
      <c r="G125" s="21">
        <f ca="1">SUMIFS(Summary[Surge],Summary[Facility],B110,Summary[Type],C121,Summary[Status],"COVID")-(G126/2)</f>
        <v>57.682499999999997</v>
      </c>
      <c r="H125" s="22">
        <f ca="1">SUMIFS(Summary[Next Up],Summary[Facility],B110,Summary[Type],C121,Summary[Status],"COVID")-(H126/2)</f>
        <v>57.682499999999997</v>
      </c>
    </row>
    <row r="126" spans="2:8" x14ac:dyDescent="0.35">
      <c r="B126" s="28"/>
      <c r="C126" s="29"/>
      <c r="D126" s="20" t="s">
        <v>217</v>
      </c>
      <c r="E126" s="21">
        <f ca="1">+E124*0.015</f>
        <v>4.6349999999999998</v>
      </c>
      <c r="F126" s="21">
        <f ca="1">+F124*0.015</f>
        <v>4.6349999999999998</v>
      </c>
      <c r="G126" s="21">
        <f ca="1">+G124*0.015</f>
        <v>4.6349999999999998</v>
      </c>
      <c r="H126" s="22">
        <f ca="1">+H124*0.015</f>
        <v>4.6349999999999998</v>
      </c>
    </row>
    <row r="127" spans="2:8" x14ac:dyDescent="0.35">
      <c r="B127" s="28"/>
      <c r="C127" s="29"/>
      <c r="D127" s="20" t="s">
        <v>219</v>
      </c>
      <c r="E127" s="21">
        <f ca="1">SUM(E121:E124)-SUM(E125:E126)</f>
        <v>585.6825</v>
      </c>
      <c r="F127" s="21">
        <f ca="1">SUM(F121:F124)-SUM(F125:F126)</f>
        <v>555.6825</v>
      </c>
      <c r="G127" s="21">
        <f ca="1">SUM(G121:G124)-SUM(G125:G126)</f>
        <v>555.6825</v>
      </c>
      <c r="H127" s="22">
        <f ca="1">SUM(H121:H124)-SUM(H125:H126)</f>
        <v>555.6825</v>
      </c>
    </row>
    <row r="128" spans="2:8" x14ac:dyDescent="0.35">
      <c r="B128" s="28"/>
      <c r="C128" s="29"/>
      <c r="D128" s="20" t="s">
        <v>222</v>
      </c>
      <c r="E128" s="21" t="str">
        <f ca="1">TEXT(SUMIFS(Summary[Baseline],Summary[Facility],B110,Summary[Type],C121,Summary[Status],"COVID"),"#,##0")</f>
        <v>30</v>
      </c>
      <c r="F128" s="21" t="str">
        <f ca="1">TEXT(SUMIFS(Summary[Ramp Up],Summary[Facility],B110,Summary[Type],C121,Summary[Status],"COVID"),"#,##0")</f>
        <v>60</v>
      </c>
      <c r="G128" s="21" t="str">
        <f ca="1">TEXT(SUMIFS(Summary[Surge],Summary[Facility],B110,Summary[Type],C121,Summary[Status],"COVID"),"#,##0")</f>
        <v>60</v>
      </c>
      <c r="H128" s="22" t="str">
        <f ca="1">TEXT(SUMIFS(Summary[Next Up],Summary[Facility],B110,Summary[Type],C121,Summary[Status],"COVID"),"#,##0")</f>
        <v>60</v>
      </c>
    </row>
    <row r="129" spans="2:8" x14ac:dyDescent="0.35">
      <c r="B129" s="28"/>
      <c r="C129" s="29"/>
      <c r="D129" s="20" t="s">
        <v>220</v>
      </c>
      <c r="E129" s="21" t="str">
        <f ca="1">"Max COVID 
"&amp;TEXT(E121,"#,##0")&amp;" - "&amp;TEXT(SUMIFS(Summary[Baseline],Summary[Facility],B110,Summary[Type],C121,Summary[Status],"COVID")/E121,"0.0%")</f>
        <v>Max COVID 
60 - 50.0%</v>
      </c>
      <c r="F129" s="21" t="str">
        <f ca="1">"Max COVID 
"&amp;TEXT(F121,"#,##0")&amp;" - "&amp;TEXT(SUMIFS(Summary[Ramp Up],Summary[Facility],B110,Summary[Type],C121,Summary[Status],"COVID")/F121,"0.0%")</f>
        <v>Max COVID 
60 - 100.0%</v>
      </c>
      <c r="G129" s="21" t="str">
        <f ca="1">"Max COVID 
"&amp;TEXT(G121,"#,##0")&amp;" - "&amp;TEXT(SUMIFS(Summary[Surge],Summary[Facility],B110,Summary[Type],C121,Summary[Status],"COVID")/G121,"0.0%")</f>
        <v>Max COVID 
60 - 100.0%</v>
      </c>
      <c r="H129" s="22" t="str">
        <f ca="1">"Max COVID 
"&amp;TEXT(H121,"#,##0")&amp;" - "&amp;TEXT(SUMIFS(Summary[Next Up],Summary[Facility],B110,Summary[Type],C121,Summary[Status],"COVID")/H121,"0.0%")</f>
        <v>Max COVID 
60 - 100.0%</v>
      </c>
    </row>
    <row r="130" spans="2:8" x14ac:dyDescent="0.35">
      <c r="B130" s="28"/>
      <c r="C130" s="29"/>
      <c r="D130" s="39" t="s">
        <v>246</v>
      </c>
      <c r="E130" s="21" t="str">
        <f ca="1">"Crisis COVID 
"&amp;TEXT(+E121+E122,"#,##0")&amp;" - "&amp;TEXT(SUMIFS(Summary[Baseline],Summary[Facility],$B110,Summary[Type],$C121,Summary[Status],"COVID")/(E121+E122),"0.0%")</f>
        <v>Crisis COVID 
60 - 50.0%</v>
      </c>
      <c r="F130" s="21" t="str">
        <f ca="1">"Crisis COVID 
"&amp;TEXT(+F121+F122,"#,##0")&amp;" - "&amp;TEXT(SUMIFS(Summary[Ramp Up],Summary[Facility],$B110,Summary[Type],$C121,Summary[Status],"COVID")/(F121+F122),"0.0%")</f>
        <v>Crisis COVID 
60 - 100.0%</v>
      </c>
      <c r="G130" s="21" t="str">
        <f ca="1">"Crisis COVID 
"&amp;TEXT(+G121+G122,"#,##0")&amp;" - "&amp;TEXT(SUMIFS(Summary[Surge],Summary[Facility],$B110,Summary[Type],$C121,Summary[Status],"COVID")/(G121+G122),"0.0%")</f>
        <v>Crisis COVID 
60 - 100.0%</v>
      </c>
      <c r="H130" s="22" t="str">
        <f ca="1">"Crisis COVID 
"&amp;TEXT(+H121+H122,"#,##0")&amp;" - "&amp;TEXT(SUMIFS(Summary[Next Up],Summary[Facility],$B110,Summary[Type],$C121,Summary[Status],"COVID")/(H121+H122),"0.0%")</f>
        <v>Crisis COVID 
60 - 100.0%</v>
      </c>
    </row>
    <row r="131" spans="2:8" x14ac:dyDescent="0.35">
      <c r="B131" s="28"/>
      <c r="C131" s="29"/>
      <c r="D131" s="20" t="s">
        <v>221</v>
      </c>
      <c r="E131" s="21" t="str">
        <f ca="1">"All Beds
"&amp;TEXT(E124,"#,##0")&amp;" - "&amp;TEXT(SUMIFS(Summary[Baseline],Summary[Facility],B110,Summary[Type],C121,Summary[Status],"COVID")/E124,"0.0%")</f>
        <v>All Beds
309 - 9.7%</v>
      </c>
      <c r="F131" s="21" t="str">
        <f ca="1">"All Beds
"&amp;TEXT(F124,"#,##0")&amp;" - "&amp;TEXT(SUMIFS(Summary[Ramp Up],Summary[Facility],B110,Summary[Type],C121,Summary[Status],"COVID")/F124,"0.0%")</f>
        <v>All Beds
309 - 19.4%</v>
      </c>
      <c r="G131" s="21" t="str">
        <f ca="1">"All Beds
"&amp;TEXT(G124,"#,##0")&amp;" - "&amp;TEXT(SUMIFS(Summary[Surge],Summary[Facility],B110,Summary[Type],C121,Summary[Status],"COVID")/G124,"0.0%")</f>
        <v>All Beds
309 - 19.4%</v>
      </c>
      <c r="H131" s="22" t="str">
        <f ca="1">"All Beds
"&amp;TEXT(H124,"#,##0")&amp;" - "&amp;TEXT(SUMIFS(Summary[Next Up],Summary[Facility],B110,Summary[Type],C121,Summary[Status],"COVID")/H124,"0.0%")</f>
        <v>All Beds
309 - 19.4%</v>
      </c>
    </row>
    <row r="132" spans="2:8" ht="13.5" thickBot="1" x14ac:dyDescent="0.4">
      <c r="B132" s="30"/>
      <c r="C132" s="31"/>
      <c r="D132" s="23" t="s">
        <v>223</v>
      </c>
      <c r="E132" s="24" t="str">
        <f ca="1">"Total COVID
"&amp;TEXT(SUM(VALUE(E117),VALUE(E128)),"#,##0")</f>
        <v>Total COVID
42</v>
      </c>
      <c r="F132" s="24" t="str">
        <f ca="1">"Total COVID
"&amp;TEXT(SUM(VALUE(F117),VALUE(F128)),"#,##0")</f>
        <v>Total COVID
72</v>
      </c>
      <c r="G132" s="24" t="str">
        <f ca="1">"Total COVID
"&amp;TEXT(SUM(VALUE(G117),VALUE(G128)),"#,##0")</f>
        <v>Total COVID
72</v>
      </c>
      <c r="H132" s="25" t="str">
        <f ca="1">"Total COVID
"&amp;TEXT(SUM(VALUE(H117),VALUE(H128)),"#,##0")</f>
        <v>Total COVID
72</v>
      </c>
    </row>
    <row r="133" spans="2:8" x14ac:dyDescent="0.35">
      <c r="B133" s="26" t="s">
        <v>4</v>
      </c>
      <c r="C133" s="27" t="s">
        <v>23</v>
      </c>
      <c r="D133" s="17" t="s">
        <v>213</v>
      </c>
      <c r="E133" s="18">
        <f ca="1">SUMIFS(Summary[Max],Summary[Facility],B133,Summary[Type],C133,Summary[Status],"COVID")</f>
        <v>162</v>
      </c>
      <c r="F133" s="18">
        <f ca="1">SUMIFS(Summary[Max],Summary[Facility],B133,Summary[Type],C133,Summary[Status],"COVID")</f>
        <v>162</v>
      </c>
      <c r="G133" s="18">
        <f ca="1">SUMIFS(Summary[Max],Summary[Facility],B133,Summary[Type],C133,Summary[Status],"COVID")</f>
        <v>162</v>
      </c>
      <c r="H133" s="19">
        <f ca="1">SUMIFS(Summary[Max],Summary[Facility],B133,Summary[Type],C133,Summary[Status],"COVID")</f>
        <v>162</v>
      </c>
    </row>
    <row r="134" spans="2:8" x14ac:dyDescent="0.35">
      <c r="B134" s="28"/>
      <c r="C134" s="29"/>
      <c r="D134" s="39" t="s">
        <v>245</v>
      </c>
      <c r="E134" s="21">
        <f ca="1">SUMIFS(Summary[Max],Summary[Facility],B133,Summary[Type],C133,Summary[Status],"Crisis")</f>
        <v>127</v>
      </c>
      <c r="F134" s="21">
        <f ca="1">SUMIFS(Summary[Max],Summary[Facility],B133,Summary[Type],C133,Summary[Status],"Crisis")</f>
        <v>127</v>
      </c>
      <c r="G134" s="21">
        <f ca="1">SUMIFS(Summary[Max],Summary[Facility],B133,Summary[Type],C133,Summary[Status],"Crisis")</f>
        <v>127</v>
      </c>
      <c r="H134" s="22">
        <f ca="1">SUMIFS(Summary[Max],Summary[Facility],B133,Summary[Type],C133,Summary[Status],"Crisis")</f>
        <v>127</v>
      </c>
    </row>
    <row r="135" spans="2:8" x14ac:dyDescent="0.35">
      <c r="B135" s="28"/>
      <c r="C135" s="29"/>
      <c r="D135" s="20" t="s">
        <v>215</v>
      </c>
      <c r="E135" s="21">
        <f ca="1">+E136-E133-E134</f>
        <v>86</v>
      </c>
      <c r="F135" s="21">
        <f t="shared" ref="F135" ca="1" si="16">+F136-F133-F134</f>
        <v>86</v>
      </c>
      <c r="G135" s="21">
        <f t="shared" ref="G135" ca="1" si="17">+G136-G133-G134</f>
        <v>86</v>
      </c>
      <c r="H135" s="22">
        <f t="shared" ref="H135" ca="1" si="18">+H136-H133-H134</f>
        <v>86</v>
      </c>
    </row>
    <row r="136" spans="2:8" x14ac:dyDescent="0.35">
      <c r="B136" s="28"/>
      <c r="C136" s="29"/>
      <c r="D136" s="20" t="s">
        <v>216</v>
      </c>
      <c r="E136" s="21">
        <f ca="1">SUMIFS(Summary[Max],Summary[Facility],B133,Summary[Type],C133)</f>
        <v>375</v>
      </c>
      <c r="F136" s="21">
        <f ca="1">SUMIFS(Summary[Max],Summary[Facility],B133,Summary[Type],C133)</f>
        <v>375</v>
      </c>
      <c r="G136" s="21">
        <f ca="1">SUMIFS(Summary[Max],Summary[Facility],B133,Summary[Type],C133)</f>
        <v>375</v>
      </c>
      <c r="H136" s="22">
        <f ca="1">SUMIFS(Summary[Max],Summary[Facility],B133,Summary[Type],C133)</f>
        <v>375</v>
      </c>
    </row>
    <row r="137" spans="2:8" x14ac:dyDescent="0.35">
      <c r="B137" s="28"/>
      <c r="C137" s="29"/>
      <c r="D137" s="20" t="s">
        <v>218</v>
      </c>
      <c r="E137" s="21">
        <f ca="1">SUMIFS(Summary[Baseline],Summary[Facility],B133,Summary[Type],C133,Summary[Status],"COVID")-(E138/2)</f>
        <v>47.1875</v>
      </c>
      <c r="F137" s="21">
        <f ca="1">SUMIFS(Summary[Ramp Up],Summary[Facility],B133,Summary[Type],C133,Summary[Status],"COVID")-(F138/2)</f>
        <v>63.1875</v>
      </c>
      <c r="G137" s="21">
        <f ca="1">SUMIFS(Summary[Surge],Summary[Facility],B133,Summary[Type],C133,Summary[Status],"COVID")-(G138/2)</f>
        <v>145.1875</v>
      </c>
      <c r="H137" s="22">
        <f ca="1">SUMIFS(Summary[Next Up],Summary[Facility],B133,Summary[Type],C133,Summary[Status],"COVID")-(H138/2)</f>
        <v>286.1875</v>
      </c>
    </row>
    <row r="138" spans="2:8" x14ac:dyDescent="0.35">
      <c r="B138" s="28"/>
      <c r="C138" s="29"/>
      <c r="D138" s="20" t="s">
        <v>217</v>
      </c>
      <c r="E138" s="21">
        <f ca="1">+E136*0.015</f>
        <v>5.625</v>
      </c>
      <c r="F138" s="21">
        <f ca="1">+F136*0.015</f>
        <v>5.625</v>
      </c>
      <c r="G138" s="21">
        <f ca="1">+G136*0.015</f>
        <v>5.625</v>
      </c>
      <c r="H138" s="22">
        <f ca="1">+H136*0.015</f>
        <v>5.625</v>
      </c>
    </row>
    <row r="139" spans="2:8" x14ac:dyDescent="0.35">
      <c r="B139" s="28"/>
      <c r="C139" s="29"/>
      <c r="D139" s="20" t="s">
        <v>219</v>
      </c>
      <c r="E139" s="21">
        <f ca="1">SUM(E133:E136)-SUM(E137:E138)</f>
        <v>697.1875</v>
      </c>
      <c r="F139" s="21">
        <f ca="1">SUM(F133:F136)-SUM(F137:F138)</f>
        <v>681.1875</v>
      </c>
      <c r="G139" s="21">
        <f ca="1">SUM(G133:G136)-SUM(G137:G138)</f>
        <v>599.1875</v>
      </c>
      <c r="H139" s="22">
        <f ca="1">SUM(H133:H136)-SUM(H137:H138)</f>
        <v>458.1875</v>
      </c>
    </row>
    <row r="140" spans="2:8" x14ac:dyDescent="0.35">
      <c r="B140" s="28"/>
      <c r="C140" s="29"/>
      <c r="D140" s="20" t="s">
        <v>222</v>
      </c>
      <c r="E140" s="21" t="str">
        <f ca="1">TEXT(SUMIFS(Summary[Baseline],Summary[Facility],B133,Summary[Type],C133,Summary[Status],"COVID"),"#,##0")</f>
        <v>50</v>
      </c>
      <c r="F140" s="21" t="str">
        <f ca="1">TEXT(SUMIFS(Summary[Ramp Up],Summary[Facility],B133,Summary[Type],C133,Summary[Status],"COVID"),"#,##0")</f>
        <v>66</v>
      </c>
      <c r="G140" s="21" t="str">
        <f ca="1">TEXT(SUMIFS(Summary[Surge],Summary[Facility],B133,Summary[Type],C133,Summary[Status],"COVID"),"#,##0")</f>
        <v>148</v>
      </c>
      <c r="H140" s="22" t="str">
        <f ca="1">TEXT(SUMIFS(Summary[Next Up],Summary[Facility],B133,Summary[Type],C133,Summary[Status],"COVID"),"#,##0")</f>
        <v>289</v>
      </c>
    </row>
    <row r="141" spans="2:8" x14ac:dyDescent="0.35">
      <c r="B141" s="28"/>
      <c r="C141" s="29"/>
      <c r="D141" s="20" t="s">
        <v>220</v>
      </c>
      <c r="E141" s="21" t="str">
        <f ca="1">"Max COVID 
"&amp;TEXT(E133,"#,##0")&amp;" - "&amp;TEXT(SUMIFS(Summary[Baseline],Summary[Facility],B133,Summary[Type],C133,Summary[Status],"COVID")/E133,"0.0%")</f>
        <v>Max COVID 
162 - 30.9%</v>
      </c>
      <c r="F141" s="21" t="str">
        <f ca="1">"Max COVID 
"&amp;TEXT(F133,"#,##0")&amp;" - "&amp;TEXT(SUMIFS(Summary[Ramp Up],Summary[Facility],B133,Summary[Type],C133,Summary[Status],"COVID")/F133,"0.0%")</f>
        <v>Max COVID 
162 - 40.7%</v>
      </c>
      <c r="G141" s="21" t="str">
        <f ca="1">"Max COVID 
"&amp;TEXT(G133,"#,##0")&amp;" - "&amp;TEXT(SUMIFS(Summary[Surge],Summary[Facility],B133,Summary[Type],C133,Summary[Status],"COVID")/G133,"0.0%")</f>
        <v>Max COVID 
162 - 91.4%</v>
      </c>
      <c r="H141" s="22" t="str">
        <f ca="1">"Max COVID 
"&amp;TEXT(H133,"#,##0")&amp;" - "&amp;TEXT(SUMIFS(Summary[Next Up],Summary[Facility],B133,Summary[Type],C133,Summary[Status],"COVID")/H133,"0.0%")</f>
        <v>Max COVID 
162 - 178.4%</v>
      </c>
    </row>
    <row r="142" spans="2:8" x14ac:dyDescent="0.35">
      <c r="B142" s="28"/>
      <c r="C142" s="29"/>
      <c r="D142" s="39" t="s">
        <v>246</v>
      </c>
      <c r="E142" s="21" t="str">
        <f ca="1">"Crisis COVID 
"&amp;TEXT(E134+E133,"#,##0")&amp;" - "&amp;TEXT(SUMIFS(Summary[Baseline],Summary[Facility],$B133,Summary[Type],$C133,Summary[Status],"COVID")/(E133+E134),"0.0%")</f>
        <v>Crisis COVID 
289 - 17.3%</v>
      </c>
      <c r="F142" s="21" t="str">
        <f ca="1">"Crisis COVID 
"&amp;TEXT(F134+F133,"#,##0")&amp;" - "&amp;TEXT(SUMIFS(Summary[Ramp Up],Summary[Facility],$B133,Summary[Type],$C133,Summary[Status],"COVID")/(F133+F134),"0.0%")</f>
        <v>Crisis COVID 
289 - 22.8%</v>
      </c>
      <c r="G142" s="21" t="str">
        <f ca="1">"Crisis COVID 
"&amp;TEXT(G134+G133,"#,##0")&amp;" - "&amp;TEXT(SUMIFS(Summary[Surge],Summary[Facility],$B133,Summary[Type],$C133,Summary[Status],"COVID")/(G133+G134),"0.0%")</f>
        <v>Crisis COVID 
289 - 51.2%</v>
      </c>
      <c r="H142" s="22" t="str">
        <f ca="1">"Crisis COVID 
"&amp;TEXT(H134+H133,"#,##0")&amp;" - "&amp;TEXT(SUMIFS(Summary[Next Up],Summary[Facility],$B133,Summary[Type],$C133,Summary[Status],"COVID")/(H133+H134),"0.0%")</f>
        <v>Crisis COVID 
289 - 100.0%</v>
      </c>
    </row>
    <row r="143" spans="2:8" x14ac:dyDescent="0.35">
      <c r="B143" s="28"/>
      <c r="C143" s="29"/>
      <c r="D143" s="20" t="s">
        <v>221</v>
      </c>
      <c r="E143" s="21" t="str">
        <f ca="1">"All Beds
"&amp;TEXT(E136,"#,##0")&amp;" - "&amp;TEXT(SUMIFS(Summary[Baseline],Summary[Facility],B133,Summary[Type],C133,Summary[Status],"COVID")/E136,"0.0%")</f>
        <v>All Beds
375 - 13.3%</v>
      </c>
      <c r="F143" s="21" t="str">
        <f ca="1">"All Beds
"&amp;TEXT(F136,"#,##0")&amp;" - "&amp;TEXT(SUMIFS(Summary[Ramp Up],Summary[Facility],B133,Summary[Type],C133,Summary[Status],"COVID")/F136,"0.0%")</f>
        <v>All Beds
375 - 17.6%</v>
      </c>
      <c r="G143" s="21" t="str">
        <f ca="1">"All Beds
"&amp;TEXT(G136,"#,##0")&amp;" - "&amp;TEXT(SUMIFS(Summary[Surge],Summary[Facility],B133,Summary[Type],C133,Summary[Status],"COVID")/G136,"0.0%")</f>
        <v>All Beds
375 - 39.5%</v>
      </c>
      <c r="H143" s="22" t="str">
        <f ca="1">"All Beds
"&amp;TEXT(H136,"#,##0")&amp;" - "&amp;TEXT(SUMIFS(Summary[Next Up],Summary[Facility],B133,Summary[Type],C133,Summary[Status],"COVID")/H136,"0.0%")</f>
        <v>All Beds
375 - 77.1%</v>
      </c>
    </row>
    <row r="144" spans="2:8" x14ac:dyDescent="0.35">
      <c r="B144" s="28"/>
      <c r="C144" s="29" t="s">
        <v>19</v>
      </c>
      <c r="D144" s="20" t="s">
        <v>213</v>
      </c>
      <c r="E144" s="21">
        <f ca="1">SUMIFS(Summary[Max],Summary[Facility],B133,Summary[Type],C144,Summary[Status],"COVID")</f>
        <v>310</v>
      </c>
      <c r="F144" s="21">
        <f ca="1">SUMIFS(Summary[Max],Summary[Facility],B133,Summary[Type],C144,Summary[Status],"COVID")</f>
        <v>310</v>
      </c>
      <c r="G144" s="21">
        <f ca="1">SUMIFS(Summary[Max],Summary[Facility],B133,Summary[Type],C144,Summary[Status],"COVID")</f>
        <v>310</v>
      </c>
      <c r="H144" s="22">
        <f ca="1">SUMIFS(Summary[Max],Summary[Facility],B133,Summary[Type],C144,Summary[Status],"COVID")</f>
        <v>310</v>
      </c>
    </row>
    <row r="145" spans="2:8" x14ac:dyDescent="0.35">
      <c r="B145" s="28"/>
      <c r="C145" s="29"/>
      <c r="D145" s="39" t="s">
        <v>245</v>
      </c>
      <c r="E145" s="21">
        <f ca="1">SUMIFS(Summary[Max],Summary[Facility],B133,Summary[Type],C144,Summary[Status],"Crisis")</f>
        <v>138</v>
      </c>
      <c r="F145" s="21">
        <f ca="1">SUMIFS(Summary[Max],Summary[Facility],B133,Summary[Type],C144,Summary[Status],"Crisis")</f>
        <v>138</v>
      </c>
      <c r="G145" s="21">
        <f ca="1">SUMIFS(Summary[Max],Summary[Facility],B133,Summary[Type],C144,Summary[Status],"Crisis")</f>
        <v>138</v>
      </c>
      <c r="H145" s="22">
        <f ca="1">SUMIFS(Summary[Max],Summary[Facility],B133,Summary[Type],C144,Summary[Status],"Crisis")</f>
        <v>138</v>
      </c>
    </row>
    <row r="146" spans="2:8" x14ac:dyDescent="0.35">
      <c r="B146" s="28"/>
      <c r="C146" s="29"/>
      <c r="D146" s="20" t="s">
        <v>215</v>
      </c>
      <c r="E146" s="21">
        <f ca="1">+E147-E144-E145</f>
        <v>361</v>
      </c>
      <c r="F146" s="21">
        <f t="shared" ref="F146:H146" ca="1" si="19">+F147-F144-F145</f>
        <v>361</v>
      </c>
      <c r="G146" s="21">
        <f t="shared" ca="1" si="19"/>
        <v>361</v>
      </c>
      <c r="H146" s="22">
        <f t="shared" ca="1" si="19"/>
        <v>361</v>
      </c>
    </row>
    <row r="147" spans="2:8" x14ac:dyDescent="0.35">
      <c r="B147" s="28"/>
      <c r="C147" s="29"/>
      <c r="D147" s="20" t="s">
        <v>216</v>
      </c>
      <c r="E147" s="21">
        <f ca="1">SUMIFS(Summary[Max],Summary[Facility],B133,Summary[Type],C144)</f>
        <v>809</v>
      </c>
      <c r="F147" s="21">
        <f ca="1">SUMIFS(Summary[Max],Summary[Facility],B133,Summary[Type],C144)</f>
        <v>809</v>
      </c>
      <c r="G147" s="21">
        <f ca="1">SUMIFS(Summary[Max],Summary[Facility],B133,Summary[Type],C144)</f>
        <v>809</v>
      </c>
      <c r="H147" s="22">
        <f ca="1">SUMIFS(Summary[Max],Summary[Facility],B133,Summary[Type],C144)</f>
        <v>809</v>
      </c>
    </row>
    <row r="148" spans="2:8" x14ac:dyDescent="0.35">
      <c r="B148" s="28"/>
      <c r="C148" s="29"/>
      <c r="D148" s="20" t="s">
        <v>218</v>
      </c>
      <c r="E148" s="21">
        <f ca="1">SUMIFS(Summary[Baseline],Summary[Facility],B133,Summary[Type],C144,Summary[Status],"COVID")-(E149/2)</f>
        <v>59.932499999999997</v>
      </c>
      <c r="F148" s="21">
        <f ca="1">SUMIFS(Summary[Ramp Up],Summary[Facility],B133,Summary[Type],C144,Summary[Status],"COVID")-(F149/2)</f>
        <v>100.9325</v>
      </c>
      <c r="G148" s="21">
        <f ca="1">SUMIFS(Summary[Surge],Summary[Facility],B133,Summary[Type],C144,Summary[Status],"COVID")-(G149/2)</f>
        <v>178.9325</v>
      </c>
      <c r="H148" s="22">
        <f ca="1">SUMIFS(Summary[Next Up],Summary[Facility],B133,Summary[Type],C144,Summary[Status],"COVID")-(H149/2)</f>
        <v>423.9325</v>
      </c>
    </row>
    <row r="149" spans="2:8" x14ac:dyDescent="0.35">
      <c r="B149" s="28"/>
      <c r="C149" s="29"/>
      <c r="D149" s="20" t="s">
        <v>217</v>
      </c>
      <c r="E149" s="21">
        <f ca="1">+E147*0.015</f>
        <v>12.135</v>
      </c>
      <c r="F149" s="21">
        <f ca="1">+F147*0.015</f>
        <v>12.135</v>
      </c>
      <c r="G149" s="21">
        <f ca="1">+G147*0.015</f>
        <v>12.135</v>
      </c>
      <c r="H149" s="22">
        <f ca="1">+H147*0.015</f>
        <v>12.135</v>
      </c>
    </row>
    <row r="150" spans="2:8" x14ac:dyDescent="0.35">
      <c r="B150" s="28"/>
      <c r="C150" s="29"/>
      <c r="D150" s="20" t="s">
        <v>219</v>
      </c>
      <c r="E150" s="21">
        <f ca="1">SUM(E144:E147)-SUM(E148:E149)</f>
        <v>1545.9324999999999</v>
      </c>
      <c r="F150" s="21">
        <f ca="1">SUM(F144:F147)-SUM(F148:F149)</f>
        <v>1504.9324999999999</v>
      </c>
      <c r="G150" s="21">
        <f ca="1">SUM(G144:G147)-SUM(G148:G149)</f>
        <v>1426.9324999999999</v>
      </c>
      <c r="H150" s="22">
        <f ca="1">SUM(H144:H147)-SUM(H148:H149)</f>
        <v>1181.9324999999999</v>
      </c>
    </row>
    <row r="151" spans="2:8" x14ac:dyDescent="0.35">
      <c r="B151" s="28"/>
      <c r="C151" s="29"/>
      <c r="D151" s="20" t="s">
        <v>222</v>
      </c>
      <c r="E151" s="21" t="str">
        <f ca="1">TEXT(SUMIFS(Summary[Baseline],Summary[Facility],B133,Summary[Type],C144,Summary[Status],"COVID"),"#,##0")</f>
        <v>66</v>
      </c>
      <c r="F151" s="21" t="str">
        <f ca="1">TEXT(SUMIFS(Summary[Ramp Up],Summary[Facility],B133,Summary[Type],C144,Summary[Status],"COVID"),"#,##0")</f>
        <v>107</v>
      </c>
      <c r="G151" s="21" t="str">
        <f ca="1">TEXT(SUMIFS(Summary[Surge],Summary[Facility],B133,Summary[Type],C144,Summary[Status],"COVID"),"#,##0")</f>
        <v>185</v>
      </c>
      <c r="H151" s="22" t="str">
        <f ca="1">TEXT(SUMIFS(Summary[Next Up],Summary[Facility],B133,Summary[Type],C144,Summary[Status],"COVID"),"#,##0")</f>
        <v>430</v>
      </c>
    </row>
    <row r="152" spans="2:8" x14ac:dyDescent="0.35">
      <c r="B152" s="28"/>
      <c r="C152" s="29"/>
      <c r="D152" s="20" t="s">
        <v>220</v>
      </c>
      <c r="E152" s="21" t="str">
        <f ca="1">"Max COVID 
"&amp;TEXT(E144,"#,##0")&amp;" - "&amp;TEXT(SUMIFS(Summary[Baseline],Summary[Facility],B133,Summary[Type],C144,Summary[Status],"COVID")/E144,"0.0%")</f>
        <v>Max COVID 
310 - 21.3%</v>
      </c>
      <c r="F152" s="21" t="str">
        <f ca="1">"Max COVID 
"&amp;TEXT(F144,"#,##0")&amp;" - "&amp;TEXT(SUMIFS(Summary[Ramp Up],Summary[Facility],B133,Summary[Type],C144,Summary[Status],"COVID")/F144,"0.0%")</f>
        <v>Max COVID 
310 - 34.5%</v>
      </c>
      <c r="G152" s="21" t="str">
        <f ca="1">"Max COVID 
"&amp;TEXT(G144,"#,##0")&amp;" - "&amp;TEXT(SUMIFS(Summary[Surge],Summary[Facility],B133,Summary[Type],C144,Summary[Status],"COVID")/G144,"0.0%")</f>
        <v>Max COVID 
310 - 59.7%</v>
      </c>
      <c r="H152" s="22" t="str">
        <f ca="1">"Max COVID 
"&amp;TEXT(H144,"#,##0")&amp;" - "&amp;TEXT(SUMIFS(Summary[Next Up],Summary[Facility],B133,Summary[Type],C144,Summary[Status],"COVID")/H144,"0.0%")</f>
        <v>Max COVID 
310 - 138.7%</v>
      </c>
    </row>
    <row r="153" spans="2:8" x14ac:dyDescent="0.35">
      <c r="B153" s="28"/>
      <c r="C153" s="29"/>
      <c r="D153" s="39" t="s">
        <v>246</v>
      </c>
      <c r="E153" s="21" t="str">
        <f ca="1">"Crisis COVID 
"&amp;TEXT(+E144+E145,"#,##0")&amp;" - "&amp;TEXT(SUMIFS(Summary[Baseline],Summary[Facility],$B133,Summary[Type],$C144,Summary[Status],"COVID")/(E144+E145),"0.0%")</f>
        <v>Crisis COVID 
448 - 14.7%</v>
      </c>
      <c r="F153" s="21" t="str">
        <f ca="1">"Crisis COVID 
"&amp;TEXT(+F144+F145,"#,##0")&amp;" - "&amp;TEXT(SUMIFS(Summary[Ramp Up],Summary[Facility],$B133,Summary[Type],$C144,Summary[Status],"COVID")/(F144+F145),"0.0%")</f>
        <v>Crisis COVID 
448 - 23.9%</v>
      </c>
      <c r="G153" s="21" t="str">
        <f ca="1">"Crisis COVID 
"&amp;TEXT(+G144+G145,"#,##0")&amp;" - "&amp;TEXT(SUMIFS(Summary[Surge],Summary[Facility],$B133,Summary[Type],$C144,Summary[Status],"COVID")/(G144+G145),"0.0%")</f>
        <v>Crisis COVID 
448 - 41.3%</v>
      </c>
      <c r="H153" s="22" t="str">
        <f ca="1">"Crisis COVID 
"&amp;TEXT(+H144+H145,"#,##0")&amp;" - "&amp;TEXT(SUMIFS(Summary[Next Up],Summary[Facility],$B133,Summary[Type],$C144,Summary[Status],"COVID")/(H144+H145),"0.0%")</f>
        <v>Crisis COVID 
448 - 96.0%</v>
      </c>
    </row>
    <row r="154" spans="2:8" x14ac:dyDescent="0.35">
      <c r="B154" s="28"/>
      <c r="C154" s="29"/>
      <c r="D154" s="20" t="s">
        <v>221</v>
      </c>
      <c r="E154" s="21" t="str">
        <f ca="1">"All Beds
"&amp;TEXT(E147,"#,##0")&amp;" - "&amp;TEXT(SUMIFS(Summary[Baseline],Summary[Facility],B133,Summary[Type],C144,Summary[Status],"COVID")/E147,"0.0%")</f>
        <v>All Beds
809 - 8.2%</v>
      </c>
      <c r="F154" s="21" t="str">
        <f ca="1">"All Beds
"&amp;TEXT(F147,"#,##0")&amp;" - "&amp;TEXT(SUMIFS(Summary[Ramp Up],Summary[Facility],B133,Summary[Type],C144,Summary[Status],"COVID")/F147,"0.0%")</f>
        <v>All Beds
809 - 13.2%</v>
      </c>
      <c r="G154" s="21" t="str">
        <f ca="1">"All Beds
"&amp;TEXT(G147,"#,##0")&amp;" - "&amp;TEXT(SUMIFS(Summary[Surge],Summary[Facility],B133,Summary[Type],C144,Summary[Status],"COVID")/G147,"0.0%")</f>
        <v>All Beds
809 - 22.9%</v>
      </c>
      <c r="H154" s="22" t="str">
        <f ca="1">"All Beds
"&amp;TEXT(H147,"#,##0")&amp;" - "&amp;TEXT(SUMIFS(Summary[Next Up],Summary[Facility],B133,Summary[Type],C144,Summary[Status],"COVID")/H147,"0.0%")</f>
        <v>All Beds
809 - 53.2%</v>
      </c>
    </row>
    <row r="155" spans="2:8" ht="13.5" thickBot="1" x14ac:dyDescent="0.4">
      <c r="B155" s="30"/>
      <c r="C155" s="31"/>
      <c r="D155" s="23" t="s">
        <v>223</v>
      </c>
      <c r="E155" s="24" t="str">
        <f ca="1">"Total COVID
"&amp;TEXT(SUM(VALUE(E140),VALUE(E151)),"#,##0")</f>
        <v>Total COVID
116</v>
      </c>
      <c r="F155" s="24" t="str">
        <f ca="1">"Total COVID
"&amp;TEXT(SUM(VALUE(F140),VALUE(F151)),"#,##0")</f>
        <v>Total COVID
173</v>
      </c>
      <c r="G155" s="24" t="str">
        <f ca="1">"Total COVID
"&amp;TEXT(SUM(VALUE(G140),VALUE(G151)),"#,##0")</f>
        <v>Total COVID
333</v>
      </c>
      <c r="H155" s="25" t="str">
        <f ca="1">"Total COVID
"&amp;TEXT(SUM(VALUE(H140),VALUE(H151)),"#,##0")</f>
        <v>Total COVID
719</v>
      </c>
    </row>
    <row r="156" spans="2:8" x14ac:dyDescent="0.35">
      <c r="B156" s="26" t="s">
        <v>164</v>
      </c>
      <c r="C156" s="27" t="s">
        <v>23</v>
      </c>
      <c r="D156" s="17" t="s">
        <v>213</v>
      </c>
      <c r="E156" s="18">
        <f ca="1">SUMIFS(Summary[Max],Summary[Facility],B156,Summary[Type],C156,Summary[Status],"COVID")</f>
        <v>42</v>
      </c>
      <c r="F156" s="18">
        <f ca="1">SUMIFS(Summary[Max],Summary[Facility],B156,Summary[Type],C156,Summary[Status],"COVID")</f>
        <v>42</v>
      </c>
      <c r="G156" s="18">
        <f ca="1">SUMIFS(Summary[Max],Summary[Facility],B156,Summary[Type],C156,Summary[Status],"COVID")</f>
        <v>42</v>
      </c>
      <c r="H156" s="19">
        <f ca="1">SUMIFS(Summary[Max],Summary[Facility],B156,Summary[Type],C156,Summary[Status],"COVID")</f>
        <v>42</v>
      </c>
    </row>
    <row r="157" spans="2:8" x14ac:dyDescent="0.35">
      <c r="B157" s="28"/>
      <c r="C157" s="29"/>
      <c r="D157" s="39" t="s">
        <v>245</v>
      </c>
      <c r="E157" s="21">
        <f ca="1">SUMIFS(Summary[Max],Summary[Facility],B156,Summary[Type],C156,Summary[Status],"Crisis")</f>
        <v>0</v>
      </c>
      <c r="F157" s="21">
        <f ca="1">SUMIFS(Summary[Max],Summary[Facility],B156,Summary[Type],C156,Summary[Status],"Crisis")</f>
        <v>0</v>
      </c>
      <c r="G157" s="21">
        <f ca="1">SUMIFS(Summary[Max],Summary[Facility],B156,Summary[Type],C156,Summary[Status],"Crisis")</f>
        <v>0</v>
      </c>
      <c r="H157" s="22">
        <f ca="1">SUMIFS(Summary[Max],Summary[Facility],B156,Summary[Type],C156,Summary[Status],"Crisis")</f>
        <v>0</v>
      </c>
    </row>
    <row r="158" spans="2:8" x14ac:dyDescent="0.35">
      <c r="B158" s="28"/>
      <c r="C158" s="29"/>
      <c r="D158" s="20" t="s">
        <v>215</v>
      </c>
      <c r="E158" s="21">
        <f ca="1">+E159-E156-E157</f>
        <v>85</v>
      </c>
      <c r="F158" s="21">
        <f t="shared" ref="F158" ca="1" si="20">+F159-F156-F157</f>
        <v>85</v>
      </c>
      <c r="G158" s="21">
        <f t="shared" ref="G158" ca="1" si="21">+G159-G156-G157</f>
        <v>85</v>
      </c>
      <c r="H158" s="22">
        <f t="shared" ref="H158" ca="1" si="22">+H159-H156-H157</f>
        <v>85</v>
      </c>
    </row>
    <row r="159" spans="2:8" x14ac:dyDescent="0.35">
      <c r="B159" s="28"/>
      <c r="C159" s="29"/>
      <c r="D159" s="20" t="s">
        <v>216</v>
      </c>
      <c r="E159" s="21">
        <f ca="1">SUMIFS(Summary[Max],Summary[Facility],B156,Summary[Type],C156)</f>
        <v>127</v>
      </c>
      <c r="F159" s="21">
        <f ca="1">SUMIFS(Summary[Max],Summary[Facility],B156,Summary[Type],C156)</f>
        <v>127</v>
      </c>
      <c r="G159" s="21">
        <f ca="1">SUMIFS(Summary[Max],Summary[Facility],B156,Summary[Type],C156)</f>
        <v>127</v>
      </c>
      <c r="H159" s="22">
        <f ca="1">SUMIFS(Summary[Max],Summary[Facility],B156,Summary[Type],C156)</f>
        <v>127</v>
      </c>
    </row>
    <row r="160" spans="2:8" x14ac:dyDescent="0.35">
      <c r="B160" s="28"/>
      <c r="C160" s="29"/>
      <c r="D160" s="20" t="s">
        <v>218</v>
      </c>
      <c r="E160" s="21">
        <f ca="1">SUMIFS(Summary[Baseline],Summary[Facility],B156,Summary[Type],C156,Summary[Status],"COVID")-(E161/2)</f>
        <v>11.047499999999999</v>
      </c>
      <c r="F160" s="21">
        <f ca="1">SUMIFS(Summary[Ramp Up],Summary[Facility],B156,Summary[Type],C156,Summary[Status],"COVID")-(F161/2)</f>
        <v>29.047499999999999</v>
      </c>
      <c r="G160" s="21">
        <f ca="1">SUMIFS(Summary[Surge],Summary[Facility],B156,Summary[Type],C156,Summary[Status],"COVID")-(G161/2)</f>
        <v>29.047499999999999</v>
      </c>
      <c r="H160" s="22">
        <f ca="1">SUMIFS(Summary[Next Up],Summary[Facility],B156,Summary[Type],C156,Summary[Status],"COVID")-(H161/2)</f>
        <v>29.047499999999999</v>
      </c>
    </row>
    <row r="161" spans="2:8" x14ac:dyDescent="0.35">
      <c r="B161" s="28"/>
      <c r="C161" s="29"/>
      <c r="D161" s="20" t="s">
        <v>217</v>
      </c>
      <c r="E161" s="21">
        <f ca="1">+E159*0.015</f>
        <v>1.905</v>
      </c>
      <c r="F161" s="21">
        <f ca="1">+F159*0.015</f>
        <v>1.905</v>
      </c>
      <c r="G161" s="21">
        <f ca="1">+G159*0.015</f>
        <v>1.905</v>
      </c>
      <c r="H161" s="22">
        <f ca="1">+H159*0.015</f>
        <v>1.905</v>
      </c>
    </row>
    <row r="162" spans="2:8" x14ac:dyDescent="0.35">
      <c r="B162" s="28"/>
      <c r="C162" s="29"/>
      <c r="D162" s="20" t="s">
        <v>219</v>
      </c>
      <c r="E162" s="21">
        <f ca="1">SUM(E156:E159)-SUM(E160:E161)</f>
        <v>241.04750000000001</v>
      </c>
      <c r="F162" s="21">
        <f ca="1">SUM(F156:F159)-SUM(F160:F161)</f>
        <v>223.04750000000001</v>
      </c>
      <c r="G162" s="21">
        <f ca="1">SUM(G156:G159)-SUM(G160:G161)</f>
        <v>223.04750000000001</v>
      </c>
      <c r="H162" s="22">
        <f ca="1">SUM(H156:H159)-SUM(H160:H161)</f>
        <v>223.04750000000001</v>
      </c>
    </row>
    <row r="163" spans="2:8" x14ac:dyDescent="0.35">
      <c r="B163" s="28"/>
      <c r="C163" s="29"/>
      <c r="D163" s="20" t="s">
        <v>222</v>
      </c>
      <c r="E163" s="21" t="str">
        <f ca="1">TEXT(SUMIFS(Summary[Baseline],Summary[Facility],B156,Summary[Type],C156,Summary[Status],"COVID"),"#,##0")</f>
        <v>12</v>
      </c>
      <c r="F163" s="21" t="str">
        <f ca="1">TEXT(SUMIFS(Summary[Ramp Up],Summary[Facility],B156,Summary[Type],C156,Summary[Status],"COVID"),"#,##0")</f>
        <v>30</v>
      </c>
      <c r="G163" s="21" t="str">
        <f ca="1">TEXT(SUMIFS(Summary[Surge],Summary[Facility],B156,Summary[Type],C156,Summary[Status],"COVID"),"#,##0")</f>
        <v>30</v>
      </c>
      <c r="H163" s="22" t="str">
        <f ca="1">TEXT(SUMIFS(Summary[Next Up],Summary[Facility],B156,Summary[Type],C156,Summary[Status],"COVID"),"#,##0")</f>
        <v>30</v>
      </c>
    </row>
    <row r="164" spans="2:8" x14ac:dyDescent="0.35">
      <c r="B164" s="28"/>
      <c r="C164" s="29"/>
      <c r="D164" s="20" t="s">
        <v>220</v>
      </c>
      <c r="E164" s="21" t="str">
        <f ca="1">"Max COVID 
"&amp;TEXT(E156,"#,##0")&amp;" - "&amp;TEXT(SUMIFS(Summary[Baseline],Summary[Facility],B156,Summary[Type],C156,Summary[Status],"COVID")/E156,"0.0%")</f>
        <v>Max COVID 
42 - 28.6%</v>
      </c>
      <c r="F164" s="21" t="str">
        <f ca="1">"Max COVID 
"&amp;TEXT(F156,"#,##0")&amp;" - "&amp;TEXT(SUMIFS(Summary[Ramp Up],Summary[Facility],B156,Summary[Type],C156,Summary[Status],"COVID")/F156,"0.0%")</f>
        <v>Max COVID 
42 - 71.4%</v>
      </c>
      <c r="G164" s="21" t="str">
        <f ca="1">"Max COVID 
"&amp;TEXT(G156,"#,##0")&amp;" - "&amp;TEXT(SUMIFS(Summary[Surge],Summary[Facility],B156,Summary[Type],C156,Summary[Status],"COVID")/G156,"0.0%")</f>
        <v>Max COVID 
42 - 71.4%</v>
      </c>
      <c r="H164" s="22" t="str">
        <f ca="1">"Max COVID 
"&amp;TEXT(H156,"#,##0")&amp;" - "&amp;TEXT(SUMIFS(Summary[Next Up],Summary[Facility],B156,Summary[Type],C156,Summary[Status],"COVID")/H156,"0.0%")</f>
        <v>Max COVID 
42 - 71.4%</v>
      </c>
    </row>
    <row r="165" spans="2:8" x14ac:dyDescent="0.35">
      <c r="B165" s="28"/>
      <c r="C165" s="29"/>
      <c r="D165" s="39" t="s">
        <v>246</v>
      </c>
      <c r="E165" s="21" t="str">
        <f ca="1">"Crisis COVID 
"&amp;TEXT(E157+E156,"#,##0")&amp;" - "&amp;TEXT(SUMIFS(Summary[Baseline],Summary[Facility],$B156,Summary[Type],$C156,Summary[Status],"COVID")/(E156+E157),"0.0%")</f>
        <v>Crisis COVID 
42 - 28.6%</v>
      </c>
      <c r="F165" s="21" t="str">
        <f ca="1">"Crisis COVID 
"&amp;TEXT(F157+F156,"#,##0")&amp;" - "&amp;TEXT(SUMIFS(Summary[Ramp Up],Summary[Facility],$B156,Summary[Type],$C156,Summary[Status],"COVID")/(F156+F157),"0.0%")</f>
        <v>Crisis COVID 
42 - 71.4%</v>
      </c>
      <c r="G165" s="21" t="str">
        <f ca="1">"Crisis COVID 
"&amp;TEXT(G157+G156,"#,##0")&amp;" - "&amp;TEXT(SUMIFS(Summary[Surge],Summary[Facility],$B156,Summary[Type],$C156,Summary[Status],"COVID")/(G156+G157),"0.0%")</f>
        <v>Crisis COVID 
42 - 71.4%</v>
      </c>
      <c r="H165" s="22" t="str">
        <f ca="1">"Crisis COVID 
"&amp;TEXT(H157+H156,"#,##0")&amp;" - "&amp;TEXT(SUMIFS(Summary[Next Up],Summary[Facility],$B156,Summary[Type],$C156,Summary[Status],"COVID")/(H156+H157),"0.0%")</f>
        <v>Crisis COVID 
42 - 71.4%</v>
      </c>
    </row>
    <row r="166" spans="2:8" x14ac:dyDescent="0.35">
      <c r="B166" s="28"/>
      <c r="C166" s="29"/>
      <c r="D166" s="20" t="s">
        <v>221</v>
      </c>
      <c r="E166" s="21" t="str">
        <f ca="1">"All Beds
"&amp;TEXT(E159,"#,##0")&amp;" - "&amp;TEXT(SUMIFS(Summary[Baseline],Summary[Facility],B156,Summary[Type],C156,Summary[Status],"COVID")/E159,"0.0%")</f>
        <v>All Beds
127 - 9.4%</v>
      </c>
      <c r="F166" s="21" t="str">
        <f ca="1">"All Beds
"&amp;TEXT(F159,"#,##0")&amp;" - "&amp;TEXT(SUMIFS(Summary[Ramp Up],Summary[Facility],B156,Summary[Type],C156,Summary[Status],"COVID")/F159,"0.0%")</f>
        <v>All Beds
127 - 23.6%</v>
      </c>
      <c r="G166" s="21" t="str">
        <f ca="1">"All Beds
"&amp;TEXT(G159,"#,##0")&amp;" - "&amp;TEXT(SUMIFS(Summary[Surge],Summary[Facility],B156,Summary[Type],C156,Summary[Status],"COVID")/G159,"0.0%")</f>
        <v>All Beds
127 - 23.6%</v>
      </c>
      <c r="H166" s="22" t="str">
        <f ca="1">"All Beds
"&amp;TEXT(H159,"#,##0")&amp;" - "&amp;TEXT(SUMIFS(Summary[Next Up],Summary[Facility],B156,Summary[Type],C156,Summary[Status],"COVID")/H159,"0.0%")</f>
        <v>All Beds
127 - 23.6%</v>
      </c>
    </row>
    <row r="167" spans="2:8" x14ac:dyDescent="0.35">
      <c r="B167" s="28"/>
      <c r="C167" s="29" t="s">
        <v>19</v>
      </c>
      <c r="D167" s="20" t="s">
        <v>213</v>
      </c>
      <c r="E167" s="21">
        <f ca="1">SUMIFS(Summary[Max],Summary[Facility],B156,Summary[Type],C167,Summary[Status],"COVID")</f>
        <v>127</v>
      </c>
      <c r="F167" s="21">
        <f ca="1">SUMIFS(Summary[Max],Summary[Facility],B156,Summary[Type],C167,Summary[Status],"COVID")</f>
        <v>127</v>
      </c>
      <c r="G167" s="21">
        <f ca="1">SUMIFS(Summary[Max],Summary[Facility],B156,Summary[Type],C167,Summary[Status],"COVID")</f>
        <v>127</v>
      </c>
      <c r="H167" s="22">
        <f ca="1">SUMIFS(Summary[Max],Summary[Facility],B156,Summary[Type],C167,Summary[Status],"COVID")</f>
        <v>127</v>
      </c>
    </row>
    <row r="168" spans="2:8" x14ac:dyDescent="0.35">
      <c r="B168" s="28"/>
      <c r="C168" s="29"/>
      <c r="D168" s="39" t="s">
        <v>245</v>
      </c>
      <c r="E168" s="21">
        <f ca="1">SUMIFS(Summary[Max],Summary[Facility],B156,Summary[Type],C167,Summary[Status],"Crisis")</f>
        <v>0</v>
      </c>
      <c r="F168" s="21">
        <f ca="1">SUMIFS(Summary[Max],Summary[Facility],B156,Summary[Type],C167,Summary[Status],"Crisis")</f>
        <v>0</v>
      </c>
      <c r="G168" s="21">
        <f ca="1">SUMIFS(Summary[Max],Summary[Facility],B156,Summary[Type],C167,Summary[Status],"Crisis")</f>
        <v>0</v>
      </c>
      <c r="H168" s="22">
        <f ca="1">SUMIFS(Summary[Max],Summary[Facility],B156,Summary[Type],C167,Summary[Status],"Crisis")</f>
        <v>0</v>
      </c>
    </row>
    <row r="169" spans="2:8" x14ac:dyDescent="0.35">
      <c r="B169" s="28"/>
      <c r="C169" s="29"/>
      <c r="D169" s="20" t="s">
        <v>215</v>
      </c>
      <c r="E169" s="21">
        <f ca="1">+E170-E167-E168</f>
        <v>106</v>
      </c>
      <c r="F169" s="21">
        <f t="shared" ref="F169" ca="1" si="23">+F170-F167-F168</f>
        <v>106</v>
      </c>
      <c r="G169" s="21">
        <f t="shared" ref="G169" ca="1" si="24">+G170-G167-G168</f>
        <v>106</v>
      </c>
      <c r="H169" s="22">
        <f t="shared" ref="H169" ca="1" si="25">+H170-H167-H168</f>
        <v>106</v>
      </c>
    </row>
    <row r="170" spans="2:8" x14ac:dyDescent="0.35">
      <c r="B170" s="28"/>
      <c r="C170" s="29"/>
      <c r="D170" s="20" t="s">
        <v>216</v>
      </c>
      <c r="E170" s="21">
        <f ca="1">SUMIFS(Summary[Max],Summary[Facility],B156,Summary[Type],C167)</f>
        <v>233</v>
      </c>
      <c r="F170" s="21">
        <f ca="1">SUMIFS(Summary[Max],Summary[Facility],B156,Summary[Type],C167)</f>
        <v>233</v>
      </c>
      <c r="G170" s="21">
        <f ca="1">SUMIFS(Summary[Max],Summary[Facility],B156,Summary[Type],C167)</f>
        <v>233</v>
      </c>
      <c r="H170" s="22">
        <f ca="1">SUMIFS(Summary[Max],Summary[Facility],B156,Summary[Type],C167)</f>
        <v>233</v>
      </c>
    </row>
    <row r="171" spans="2:8" x14ac:dyDescent="0.35">
      <c r="B171" s="28"/>
      <c r="C171" s="29"/>
      <c r="D171" s="20" t="s">
        <v>218</v>
      </c>
      <c r="E171" s="21">
        <f ca="1">SUMIFS(Summary[Baseline],Summary[Facility],B156,Summary[Type],C167,Summary[Status],"COVID")-(E172/2)</f>
        <v>38.252499999999998</v>
      </c>
      <c r="F171" s="21">
        <f ca="1">SUMIFS(Summary[Ramp Up],Summary[Facility],B156,Summary[Type],C167,Summary[Status],"COVID")-(F172/2)</f>
        <v>38.252499999999998</v>
      </c>
      <c r="G171" s="21">
        <f ca="1">SUMIFS(Summary[Surge],Summary[Facility],B156,Summary[Type],C167,Summary[Status],"COVID")-(G172/2)</f>
        <v>54.252499999999998</v>
      </c>
      <c r="H171" s="22">
        <f ca="1">SUMIFS(Summary[Next Up],Summary[Facility],B156,Summary[Type],C167,Summary[Status],"COVID")-(H172/2)</f>
        <v>76.252499999999998</v>
      </c>
    </row>
    <row r="172" spans="2:8" x14ac:dyDescent="0.35">
      <c r="B172" s="28"/>
      <c r="C172" s="29"/>
      <c r="D172" s="20" t="s">
        <v>217</v>
      </c>
      <c r="E172" s="21">
        <f ca="1">+E170*0.015</f>
        <v>3.4949999999999997</v>
      </c>
      <c r="F172" s="21">
        <f ca="1">+F170*0.015</f>
        <v>3.4949999999999997</v>
      </c>
      <c r="G172" s="21">
        <f ca="1">+G170*0.015</f>
        <v>3.4949999999999997</v>
      </c>
      <c r="H172" s="22">
        <f ca="1">+H170*0.015</f>
        <v>3.4949999999999997</v>
      </c>
    </row>
    <row r="173" spans="2:8" x14ac:dyDescent="0.35">
      <c r="B173" s="28"/>
      <c r="C173" s="29"/>
      <c r="D173" s="20" t="s">
        <v>219</v>
      </c>
      <c r="E173" s="21">
        <f ca="1">SUM(E167:E170)-SUM(E171:E172)</f>
        <v>424.2525</v>
      </c>
      <c r="F173" s="21">
        <f ca="1">SUM(F167:F170)-SUM(F171:F172)</f>
        <v>424.2525</v>
      </c>
      <c r="G173" s="21">
        <f ca="1">SUM(G167:G170)-SUM(G171:G172)</f>
        <v>408.2525</v>
      </c>
      <c r="H173" s="22">
        <f ca="1">SUM(H167:H170)-SUM(H171:H172)</f>
        <v>386.2525</v>
      </c>
    </row>
    <row r="174" spans="2:8" x14ac:dyDescent="0.35">
      <c r="B174" s="28"/>
      <c r="C174" s="29"/>
      <c r="D174" s="20" t="s">
        <v>222</v>
      </c>
      <c r="E174" s="21" t="str">
        <f ca="1">TEXT(SUMIFS(Summary[Baseline],Summary[Facility],B156,Summary[Type],C167,Summary[Status],"COVID"),"#,##0")</f>
        <v>40</v>
      </c>
      <c r="F174" s="21" t="str">
        <f ca="1">TEXT(SUMIFS(Summary[Ramp Up],Summary[Facility],B156,Summary[Type],C167,Summary[Status],"COVID"),"#,##0")</f>
        <v>40</v>
      </c>
      <c r="G174" s="21" t="str">
        <f ca="1">TEXT(SUMIFS(Summary[Surge],Summary[Facility],B156,Summary[Type],C167,Summary[Status],"COVID"),"#,##0")</f>
        <v>56</v>
      </c>
      <c r="H174" s="22" t="str">
        <f ca="1">TEXT(SUMIFS(Summary[Next Up],Summary[Facility],B156,Summary[Type],C167,Summary[Status],"COVID"),"#,##0")</f>
        <v>78</v>
      </c>
    </row>
    <row r="175" spans="2:8" x14ac:dyDescent="0.35">
      <c r="B175" s="28"/>
      <c r="C175" s="29"/>
      <c r="D175" s="20" t="s">
        <v>220</v>
      </c>
      <c r="E175" s="21" t="str">
        <f ca="1">"Max COVID 
"&amp;TEXT(E167,"#,##0")&amp;" - "&amp;TEXT(SUMIFS(Summary[Baseline],Summary[Facility],B156,Summary[Type],C167,Summary[Status],"COVID")/E167,"0.0%")</f>
        <v>Max COVID 
127 - 31.5%</v>
      </c>
      <c r="F175" s="21" t="str">
        <f ca="1">"Max COVID 
"&amp;TEXT(F167,"#,##0")&amp;" - "&amp;TEXT(SUMIFS(Summary[Ramp Up],Summary[Facility],B156,Summary[Type],C167,Summary[Status],"COVID")/F167,"0.0%")</f>
        <v>Max COVID 
127 - 31.5%</v>
      </c>
      <c r="G175" s="21" t="str">
        <f ca="1">"Max COVID 
"&amp;TEXT(G167,"#,##0")&amp;" - "&amp;TEXT(SUMIFS(Summary[Surge],Summary[Facility],B156,Summary[Type],C167,Summary[Status],"COVID")/G167,"0.0%")</f>
        <v>Max COVID 
127 - 44.1%</v>
      </c>
      <c r="H175" s="22" t="str">
        <f ca="1">"Max COVID 
"&amp;TEXT(H167,"#,##0")&amp;" - "&amp;TEXT(SUMIFS(Summary[Next Up],Summary[Facility],B156,Summary[Type],C167,Summary[Status],"COVID")/H167,"0.0%")</f>
        <v>Max COVID 
127 - 61.4%</v>
      </c>
    </row>
    <row r="176" spans="2:8" x14ac:dyDescent="0.35">
      <c r="B176" s="28"/>
      <c r="C176" s="29"/>
      <c r="D176" s="39" t="s">
        <v>246</v>
      </c>
      <c r="E176" s="21" t="str">
        <f ca="1">"Crisis COVID 
"&amp;TEXT(+E167+E168,"#,##0")&amp;" - "&amp;TEXT(SUMIFS(Summary[Baseline],Summary[Facility],$B156,Summary[Type],$C167,Summary[Status],"COVID")/(E167+E168),"0.0%")</f>
        <v>Crisis COVID 
127 - 31.5%</v>
      </c>
      <c r="F176" s="21" t="str">
        <f ca="1">"Crisis COVID 
"&amp;TEXT(+F167+F168,"#,##0")&amp;" - "&amp;TEXT(SUMIFS(Summary[Ramp Up],Summary[Facility],$B156,Summary[Type],$C167,Summary[Status],"COVID")/(F167+F168),"0.0%")</f>
        <v>Crisis COVID 
127 - 31.5%</v>
      </c>
      <c r="G176" s="21" t="str">
        <f ca="1">"Crisis COVID 
"&amp;TEXT(+G167+G168,"#,##0")&amp;" - "&amp;TEXT(SUMIFS(Summary[Surge],Summary[Facility],$B156,Summary[Type],$C167,Summary[Status],"COVID")/(G167+G168),"0.0%")</f>
        <v>Crisis COVID 
127 - 44.1%</v>
      </c>
      <c r="H176" s="22" t="str">
        <f ca="1">"Crisis COVID 
"&amp;TEXT(+H167+H168,"#,##0")&amp;" - "&amp;TEXT(SUMIFS(Summary[Next Up],Summary[Facility],$B156,Summary[Type],$C167,Summary[Status],"COVID")/(H167+H168),"0.0%")</f>
        <v>Crisis COVID 
127 - 61.4%</v>
      </c>
    </row>
    <row r="177" spans="2:8" x14ac:dyDescent="0.35">
      <c r="B177" s="28"/>
      <c r="C177" s="29"/>
      <c r="D177" s="20" t="s">
        <v>221</v>
      </c>
      <c r="E177" s="21" t="str">
        <f ca="1">"All Beds
"&amp;TEXT(E170,"#,##0")&amp;" - "&amp;TEXT(SUMIFS(Summary[Baseline],Summary[Facility],B156,Summary[Type],C167,Summary[Status],"COVID")/E170,"0.0%")</f>
        <v>All Beds
233 - 17.2%</v>
      </c>
      <c r="F177" s="21" t="str">
        <f ca="1">"All Beds
"&amp;TEXT(F170,"#,##0")&amp;" - "&amp;TEXT(SUMIFS(Summary[Ramp Up],Summary[Facility],B156,Summary[Type],C167,Summary[Status],"COVID")/F170,"0.0%")</f>
        <v>All Beds
233 - 17.2%</v>
      </c>
      <c r="G177" s="21" t="str">
        <f ca="1">"All Beds
"&amp;TEXT(G170,"#,##0")&amp;" - "&amp;TEXT(SUMIFS(Summary[Surge],Summary[Facility],B156,Summary[Type],C167,Summary[Status],"COVID")/G170,"0.0%")</f>
        <v>All Beds
233 - 24.0%</v>
      </c>
      <c r="H177" s="22" t="str">
        <f ca="1">"All Beds
"&amp;TEXT(H170,"#,##0")&amp;" - "&amp;TEXT(SUMIFS(Summary[Next Up],Summary[Facility],B156,Summary[Type],C167,Summary[Status],"COVID")/H170,"0.0%")</f>
        <v>All Beds
233 - 33.5%</v>
      </c>
    </row>
    <row r="178" spans="2:8" ht="13.5" thickBot="1" x14ac:dyDescent="0.4">
      <c r="B178" s="30"/>
      <c r="C178" s="31"/>
      <c r="D178" s="23" t="s">
        <v>223</v>
      </c>
      <c r="E178" s="24" t="str">
        <f ca="1">"Total COVID
"&amp;TEXT(SUM(VALUE(E163),VALUE(E174)),"#,##0")</f>
        <v>Total COVID
52</v>
      </c>
      <c r="F178" s="24" t="str">
        <f ca="1">"Total COVID
"&amp;TEXT(SUM(VALUE(F163),VALUE(F174)),"#,##0")</f>
        <v>Total COVID
70</v>
      </c>
      <c r="G178" s="24" t="str">
        <f ca="1">"Total COVID
"&amp;TEXT(SUM(VALUE(G163),VALUE(G174)),"#,##0")</f>
        <v>Total COVID
86</v>
      </c>
      <c r="H178" s="25" t="str">
        <f ca="1">"Total COVID
"&amp;TEXT(SUM(VALUE(H163),VALUE(H174)),"#,##0")</f>
        <v>Total COVID
108</v>
      </c>
    </row>
    <row r="179" spans="2:8" x14ac:dyDescent="0.35">
      <c r="B179" s="26" t="s">
        <v>136</v>
      </c>
      <c r="C179" s="27" t="s">
        <v>23</v>
      </c>
      <c r="D179" s="17" t="s">
        <v>213</v>
      </c>
      <c r="E179" s="18">
        <f ca="1">SUMIFS(Summary[Max],Summary[Facility],B179,Summary[Type],C179,Summary[Status],"COVID")</f>
        <v>24</v>
      </c>
      <c r="F179" s="18">
        <f ca="1">SUMIFS(Summary[Max],Summary[Facility],B179,Summary[Type],C179,Summary[Status],"COVID")</f>
        <v>24</v>
      </c>
      <c r="G179" s="18">
        <f ca="1">SUMIFS(Summary[Max],Summary[Facility],B179,Summary[Type],C179,Summary[Status],"COVID")</f>
        <v>24</v>
      </c>
      <c r="H179" s="19">
        <f ca="1">SUMIFS(Summary[Max],Summary[Facility],B179,Summary[Type],C179,Summary[Status],"COVID")</f>
        <v>24</v>
      </c>
    </row>
    <row r="180" spans="2:8" x14ac:dyDescent="0.35">
      <c r="B180" s="28"/>
      <c r="C180" s="29"/>
      <c r="D180" s="39" t="s">
        <v>245</v>
      </c>
      <c r="E180" s="21">
        <f ca="1">SUMIFS(Summary[Max],Summary[Facility],B179,Summary[Type],C179,Summary[Status],"Crisis")</f>
        <v>0</v>
      </c>
      <c r="F180" s="21">
        <f ca="1">SUMIFS(Summary[Max],Summary[Facility],B179,Summary[Type],C179,Summary[Status],"Crisis")</f>
        <v>0</v>
      </c>
      <c r="G180" s="21">
        <f ca="1">SUMIFS(Summary[Max],Summary[Facility],B179,Summary[Type],C179,Summary[Status],"Crisis")</f>
        <v>0</v>
      </c>
      <c r="H180" s="22">
        <f ca="1">SUMIFS(Summary[Max],Summary[Facility],B179,Summary[Type],C179,Summary[Status],"Crisis")</f>
        <v>0</v>
      </c>
    </row>
    <row r="181" spans="2:8" x14ac:dyDescent="0.35">
      <c r="B181" s="28"/>
      <c r="C181" s="29"/>
      <c r="D181" s="20" t="s">
        <v>215</v>
      </c>
      <c r="E181" s="21">
        <f ca="1">+E182-E179-E180</f>
        <v>0</v>
      </c>
      <c r="F181" s="21">
        <f t="shared" ref="F181" ca="1" si="26">+F182-F179-F180</f>
        <v>0</v>
      </c>
      <c r="G181" s="21">
        <f t="shared" ref="G181" ca="1" si="27">+G182-G179-G180</f>
        <v>0</v>
      </c>
      <c r="H181" s="22">
        <f t="shared" ref="H181" ca="1" si="28">+H182-H179-H180</f>
        <v>0</v>
      </c>
    </row>
    <row r="182" spans="2:8" x14ac:dyDescent="0.35">
      <c r="B182" s="28"/>
      <c r="C182" s="29"/>
      <c r="D182" s="20" t="s">
        <v>216</v>
      </c>
      <c r="E182" s="21">
        <f ca="1">SUMIFS(Summary[Max],Summary[Facility],B179,Summary[Type],C179)</f>
        <v>24</v>
      </c>
      <c r="F182" s="21">
        <f ca="1">SUMIFS(Summary[Max],Summary[Facility],B179,Summary[Type],C179)</f>
        <v>24</v>
      </c>
      <c r="G182" s="21">
        <f ca="1">SUMIFS(Summary[Max],Summary[Facility],B179,Summary[Type],C179)</f>
        <v>24</v>
      </c>
      <c r="H182" s="22">
        <f ca="1">SUMIFS(Summary[Max],Summary[Facility],B179,Summary[Type],C179)</f>
        <v>24</v>
      </c>
    </row>
    <row r="183" spans="2:8" x14ac:dyDescent="0.35">
      <c r="B183" s="28"/>
      <c r="C183" s="29"/>
      <c r="D183" s="20" t="s">
        <v>218</v>
      </c>
      <c r="E183" s="21">
        <f ca="1">SUMIFS(Summary[Baseline],Summary[Facility],B179,Summary[Type],C179,Summary[Status],"COVID")-(E184/2)</f>
        <v>11.82</v>
      </c>
      <c r="F183" s="21">
        <f ca="1">SUMIFS(Summary[Ramp Up],Summary[Facility],B179,Summary[Type],C179,Summary[Status],"COVID")-(F184/2)</f>
        <v>11.82</v>
      </c>
      <c r="G183" s="21">
        <f ca="1">SUMIFS(Summary[Surge],Summary[Facility],B179,Summary[Type],C179,Summary[Status],"COVID")-(G184/2)</f>
        <v>11.82</v>
      </c>
      <c r="H183" s="22">
        <f ca="1">SUMIFS(Summary[Next Up],Summary[Facility],B179,Summary[Type],C179,Summary[Status],"COVID")-(H184/2)</f>
        <v>11.82</v>
      </c>
    </row>
    <row r="184" spans="2:8" x14ac:dyDescent="0.35">
      <c r="B184" s="28"/>
      <c r="C184" s="29"/>
      <c r="D184" s="20" t="s">
        <v>217</v>
      </c>
      <c r="E184" s="21">
        <f ca="1">+E182*0.015</f>
        <v>0.36</v>
      </c>
      <c r="F184" s="21">
        <f ca="1">+F182*0.015</f>
        <v>0.36</v>
      </c>
      <c r="G184" s="21">
        <f ca="1">+G182*0.015</f>
        <v>0.36</v>
      </c>
      <c r="H184" s="22">
        <f ca="1">+H182*0.015</f>
        <v>0.36</v>
      </c>
    </row>
    <row r="185" spans="2:8" x14ac:dyDescent="0.35">
      <c r="B185" s="28"/>
      <c r="C185" s="29"/>
      <c r="D185" s="20" t="s">
        <v>219</v>
      </c>
      <c r="E185" s="21">
        <f ca="1">SUM(E179:E182)-SUM(E183:E184)</f>
        <v>35.82</v>
      </c>
      <c r="F185" s="21">
        <f ca="1">SUM(F179:F182)-SUM(F183:F184)</f>
        <v>35.82</v>
      </c>
      <c r="G185" s="21">
        <f ca="1">SUM(G179:G182)-SUM(G183:G184)</f>
        <v>35.82</v>
      </c>
      <c r="H185" s="22">
        <f ca="1">SUM(H179:H182)-SUM(H183:H184)</f>
        <v>35.82</v>
      </c>
    </row>
    <row r="186" spans="2:8" x14ac:dyDescent="0.35">
      <c r="B186" s="28"/>
      <c r="C186" s="29"/>
      <c r="D186" s="20" t="s">
        <v>222</v>
      </c>
      <c r="E186" s="21" t="str">
        <f ca="1">TEXT(SUMIFS(Summary[Baseline],Summary[Facility],B179,Summary[Type],C179,Summary[Status],"COVID"),"#,##0")</f>
        <v>12</v>
      </c>
      <c r="F186" s="21" t="str">
        <f ca="1">TEXT(SUMIFS(Summary[Ramp Up],Summary[Facility],B179,Summary[Type],C179,Summary[Status],"COVID"),"#,##0")</f>
        <v>12</v>
      </c>
      <c r="G186" s="21" t="str">
        <f ca="1">TEXT(SUMIFS(Summary[Surge],Summary[Facility],B179,Summary[Type],C179,Summary[Status],"COVID"),"#,##0")</f>
        <v>12</v>
      </c>
      <c r="H186" s="22" t="str">
        <f ca="1">TEXT(SUMIFS(Summary[Next Up],Summary[Facility],B179,Summary[Type],C179,Summary[Status],"COVID"),"#,##0")</f>
        <v>12</v>
      </c>
    </row>
    <row r="187" spans="2:8" x14ac:dyDescent="0.35">
      <c r="B187" s="28"/>
      <c r="C187" s="29"/>
      <c r="D187" s="20" t="s">
        <v>220</v>
      </c>
      <c r="E187" s="21" t="str">
        <f ca="1">"Max COVID 
"&amp;TEXT(E179,"#,##0")&amp;" - "&amp;TEXT(SUMIFS(Summary[Baseline],Summary[Facility],B179,Summary[Type],C179,Summary[Status],"COVID")/E179,"0.0%")</f>
        <v>Max COVID 
24 - 50.0%</v>
      </c>
      <c r="F187" s="21" t="str">
        <f ca="1">"Max COVID 
"&amp;TEXT(F179,"#,##0")&amp;" - "&amp;TEXT(SUMIFS(Summary[Ramp Up],Summary[Facility],B179,Summary[Type],C179,Summary[Status],"COVID")/F179,"0.0%")</f>
        <v>Max COVID 
24 - 50.0%</v>
      </c>
      <c r="G187" s="21" t="str">
        <f ca="1">"Max COVID 
"&amp;TEXT(G179,"#,##0")&amp;" - "&amp;TEXT(SUMIFS(Summary[Surge],Summary[Facility],B179,Summary[Type],C179,Summary[Status],"COVID")/G179,"0.0%")</f>
        <v>Max COVID 
24 - 50.0%</v>
      </c>
      <c r="H187" s="22" t="str">
        <f ca="1">"Max COVID 
"&amp;TEXT(H179,"#,##0")&amp;" - "&amp;TEXT(SUMIFS(Summary[Next Up],Summary[Facility],B179,Summary[Type],C179,Summary[Status],"COVID")/H179,"0.0%")</f>
        <v>Max COVID 
24 - 50.0%</v>
      </c>
    </row>
    <row r="188" spans="2:8" x14ac:dyDescent="0.35">
      <c r="B188" s="28"/>
      <c r="C188" s="29"/>
      <c r="D188" s="39" t="s">
        <v>246</v>
      </c>
      <c r="E188" s="21" t="str">
        <f ca="1">"Crisis COVID 
"&amp;TEXT(E180+E179,"#,##0")&amp;" - "&amp;TEXT(SUMIFS(Summary[Baseline],Summary[Facility],$B179,Summary[Type],$C179,Summary[Status],"COVID")/(E179+E180),"0.0%")</f>
        <v>Crisis COVID 
24 - 50.0%</v>
      </c>
      <c r="F188" s="21" t="str">
        <f ca="1">"Crisis COVID 
"&amp;TEXT(F180+F179,"#,##0")&amp;" - "&amp;TEXT(SUMIFS(Summary[Ramp Up],Summary[Facility],$B179,Summary[Type],$C179,Summary[Status],"COVID")/(F179+F180),"0.0%")</f>
        <v>Crisis COVID 
24 - 50.0%</v>
      </c>
      <c r="G188" s="21" t="str">
        <f ca="1">"Crisis COVID 
"&amp;TEXT(G180+G179,"#,##0")&amp;" - "&amp;TEXT(SUMIFS(Summary[Surge],Summary[Facility],$B179,Summary[Type],$C179,Summary[Status],"COVID")/(G179+G180),"0.0%")</f>
        <v>Crisis COVID 
24 - 50.0%</v>
      </c>
      <c r="H188" s="22" t="str">
        <f ca="1">"Crisis COVID 
"&amp;TEXT(H180+H179,"#,##0")&amp;" - "&amp;TEXT(SUMIFS(Summary[Next Up],Summary[Facility],$B179,Summary[Type],$C179,Summary[Status],"COVID")/(H179+H180),"0.0%")</f>
        <v>Crisis COVID 
24 - 50.0%</v>
      </c>
    </row>
    <row r="189" spans="2:8" x14ac:dyDescent="0.35">
      <c r="B189" s="28"/>
      <c r="C189" s="29"/>
      <c r="D189" s="20" t="s">
        <v>221</v>
      </c>
      <c r="E189" s="21" t="str">
        <f ca="1">"All Beds
"&amp;TEXT(E182,"#,##0")&amp;" - "&amp;TEXT(SUMIFS(Summary[Baseline],Summary[Facility],B179,Summary[Type],C179,Summary[Status],"COVID")/E182,"0.0%")</f>
        <v>All Beds
24 - 50.0%</v>
      </c>
      <c r="F189" s="21" t="str">
        <f ca="1">"All Beds
"&amp;TEXT(F182,"#,##0")&amp;" - "&amp;TEXT(SUMIFS(Summary[Ramp Up],Summary[Facility],B179,Summary[Type],C179,Summary[Status],"COVID")/F182,"0.0%")</f>
        <v>All Beds
24 - 50.0%</v>
      </c>
      <c r="G189" s="21" t="str">
        <f ca="1">"All Beds
"&amp;TEXT(G182,"#,##0")&amp;" - "&amp;TEXT(SUMIFS(Summary[Surge],Summary[Facility],B179,Summary[Type],C179,Summary[Status],"COVID")/G182,"0.0%")</f>
        <v>All Beds
24 - 50.0%</v>
      </c>
      <c r="H189" s="22" t="str">
        <f ca="1">"All Beds
"&amp;TEXT(H182,"#,##0")&amp;" - "&amp;TEXT(SUMIFS(Summary[Next Up],Summary[Facility],B179,Summary[Type],C179,Summary[Status],"COVID")/H182,"0.0%")</f>
        <v>All Beds
24 - 50.0%</v>
      </c>
    </row>
    <row r="190" spans="2:8" x14ac:dyDescent="0.35">
      <c r="B190" s="28"/>
      <c r="C190" s="29" t="s">
        <v>19</v>
      </c>
      <c r="D190" s="20" t="s">
        <v>213</v>
      </c>
      <c r="E190" s="21">
        <f ca="1">SUMIFS(Summary[Max],Summary[Facility],B179,Summary[Type],C190,Summary[Status],"COVID")</f>
        <v>104</v>
      </c>
      <c r="F190" s="21">
        <f ca="1">SUMIFS(Summary[Max],Summary[Facility],B179,Summary[Type],C190,Summary[Status],"COVID")</f>
        <v>104</v>
      </c>
      <c r="G190" s="21">
        <f ca="1">SUMIFS(Summary[Max],Summary[Facility],B179,Summary[Type],C190,Summary[Status],"COVID")</f>
        <v>104</v>
      </c>
      <c r="H190" s="22">
        <f ca="1">SUMIFS(Summary[Max],Summary[Facility],B179,Summary[Type],C190,Summary[Status],"COVID")</f>
        <v>104</v>
      </c>
    </row>
    <row r="191" spans="2:8" x14ac:dyDescent="0.35">
      <c r="B191" s="28"/>
      <c r="C191" s="29"/>
      <c r="D191" s="39" t="s">
        <v>245</v>
      </c>
      <c r="E191" s="21">
        <f ca="1">SUMIFS(Summary[Max],Summary[Facility],B179,Summary[Type],C190,Summary[Status],"Crisis")</f>
        <v>0</v>
      </c>
      <c r="F191" s="21">
        <f ca="1">SUMIFS(Summary[Max],Summary[Facility],B179,Summary[Type],C190,Summary[Status],"Crisis")</f>
        <v>0</v>
      </c>
      <c r="G191" s="21">
        <f ca="1">SUMIFS(Summary[Max],Summary[Facility],B179,Summary[Type],C190,Summary[Status],"Crisis")</f>
        <v>0</v>
      </c>
      <c r="H191" s="22">
        <f ca="1">SUMIFS(Summary[Max],Summary[Facility],B179,Summary[Type],C190,Summary[Status],"Crisis")</f>
        <v>0</v>
      </c>
    </row>
    <row r="192" spans="2:8" x14ac:dyDescent="0.35">
      <c r="B192" s="28"/>
      <c r="C192" s="29"/>
      <c r="D192" s="20" t="s">
        <v>215</v>
      </c>
      <c r="E192" s="21">
        <f ca="1">+E193-E190-E191</f>
        <v>171</v>
      </c>
      <c r="F192" s="21">
        <f t="shared" ref="F192" ca="1" si="29">+F193-F190-F191</f>
        <v>171</v>
      </c>
      <c r="G192" s="21">
        <f t="shared" ref="G192" ca="1" si="30">+G193-G190-G191</f>
        <v>171</v>
      </c>
      <c r="H192" s="22">
        <f t="shared" ref="H192" ca="1" si="31">+H193-H190-H191</f>
        <v>171</v>
      </c>
    </row>
    <row r="193" spans="2:8" x14ac:dyDescent="0.35">
      <c r="B193" s="28"/>
      <c r="C193" s="29"/>
      <c r="D193" s="20" t="s">
        <v>216</v>
      </c>
      <c r="E193" s="21">
        <f ca="1">SUMIFS(Summary[Max],Summary[Facility],B179,Summary[Type],C190)</f>
        <v>275</v>
      </c>
      <c r="F193" s="21">
        <f ca="1">SUMIFS(Summary[Max],Summary[Facility],B179,Summary[Type],C190)</f>
        <v>275</v>
      </c>
      <c r="G193" s="21">
        <f ca="1">SUMIFS(Summary[Max],Summary[Facility],B179,Summary[Type],C190)</f>
        <v>275</v>
      </c>
      <c r="H193" s="22">
        <f ca="1">SUMIFS(Summary[Max],Summary[Facility],B179,Summary[Type],C190)</f>
        <v>275</v>
      </c>
    </row>
    <row r="194" spans="2:8" x14ac:dyDescent="0.35">
      <c r="B194" s="28"/>
      <c r="C194" s="29"/>
      <c r="D194" s="20" t="s">
        <v>218</v>
      </c>
      <c r="E194" s="21">
        <f ca="1">SUMIFS(Summary[Baseline],Summary[Facility],B179,Summary[Type],C190,Summary[Status],"COVID")-(E195/2)</f>
        <v>27.9375</v>
      </c>
      <c r="F194" s="21">
        <f ca="1">SUMIFS(Summary[Ramp Up],Summary[Facility],B179,Summary[Type],C190,Summary[Status],"COVID")-(F195/2)</f>
        <v>51.9375</v>
      </c>
      <c r="G194" s="21">
        <f ca="1">SUMIFS(Summary[Surge],Summary[Facility],B179,Summary[Type],C190,Summary[Status],"COVID")-(G195/2)</f>
        <v>51.9375</v>
      </c>
      <c r="H194" s="22">
        <f ca="1">SUMIFS(Summary[Next Up],Summary[Facility],B179,Summary[Type],C190,Summary[Status],"COVID")-(H195/2)</f>
        <v>51.9375</v>
      </c>
    </row>
    <row r="195" spans="2:8" x14ac:dyDescent="0.35">
      <c r="B195" s="28"/>
      <c r="C195" s="29"/>
      <c r="D195" s="20" t="s">
        <v>217</v>
      </c>
      <c r="E195" s="21">
        <f ca="1">+E193*0.015</f>
        <v>4.125</v>
      </c>
      <c r="F195" s="21">
        <f ca="1">+F193*0.015</f>
        <v>4.125</v>
      </c>
      <c r="G195" s="21">
        <f ca="1">+G193*0.015</f>
        <v>4.125</v>
      </c>
      <c r="H195" s="22">
        <f ca="1">+H193*0.015</f>
        <v>4.125</v>
      </c>
    </row>
    <row r="196" spans="2:8" x14ac:dyDescent="0.35">
      <c r="B196" s="28"/>
      <c r="C196" s="29"/>
      <c r="D196" s="20" t="s">
        <v>219</v>
      </c>
      <c r="E196" s="21">
        <f ca="1">SUM(E190:E193)-SUM(E194:E195)</f>
        <v>517.9375</v>
      </c>
      <c r="F196" s="21">
        <f ca="1">SUM(F190:F193)-SUM(F194:F195)</f>
        <v>493.9375</v>
      </c>
      <c r="G196" s="21">
        <f ca="1">SUM(G190:G193)-SUM(G194:G195)</f>
        <v>493.9375</v>
      </c>
      <c r="H196" s="22">
        <f ca="1">SUM(H190:H193)-SUM(H194:H195)</f>
        <v>493.9375</v>
      </c>
    </row>
    <row r="197" spans="2:8" x14ac:dyDescent="0.35">
      <c r="B197" s="28"/>
      <c r="C197" s="29"/>
      <c r="D197" s="20" t="s">
        <v>222</v>
      </c>
      <c r="E197" s="21" t="str">
        <f ca="1">TEXT(SUMIFS(Summary[Baseline],Summary[Facility],B179,Summary[Type],C190,Summary[Status],"COVID"),"#,##0")</f>
        <v>30</v>
      </c>
      <c r="F197" s="21" t="str">
        <f ca="1">TEXT(SUMIFS(Summary[Ramp Up],Summary[Facility],B179,Summary[Type],C190,Summary[Status],"COVID"),"#,##0")</f>
        <v>54</v>
      </c>
      <c r="G197" s="21" t="str">
        <f ca="1">TEXT(SUMIFS(Summary[Surge],Summary[Facility],B179,Summary[Type],C190,Summary[Status],"COVID"),"#,##0")</f>
        <v>54</v>
      </c>
      <c r="H197" s="22" t="str">
        <f ca="1">TEXT(SUMIFS(Summary[Next Up],Summary[Facility],B179,Summary[Type],C190,Summary[Status],"COVID"),"#,##0")</f>
        <v>54</v>
      </c>
    </row>
    <row r="198" spans="2:8" x14ac:dyDescent="0.35">
      <c r="B198" s="28"/>
      <c r="C198" s="29"/>
      <c r="D198" s="20" t="s">
        <v>220</v>
      </c>
      <c r="E198" s="21" t="str">
        <f ca="1">"Max COVID 
"&amp;TEXT(E190,"#,##0")&amp;" - "&amp;TEXT(SUMIFS(Summary[Baseline],Summary[Facility],B179,Summary[Type],C190,Summary[Status],"COVID")/E190,"0.0%")</f>
        <v>Max COVID 
104 - 28.8%</v>
      </c>
      <c r="F198" s="21" t="str">
        <f ca="1">"Max COVID 
"&amp;TEXT(F190,"#,##0")&amp;" - "&amp;TEXT(SUMIFS(Summary[Ramp Up],Summary[Facility],B179,Summary[Type],C190,Summary[Status],"COVID")/F190,"0.0%")</f>
        <v>Max COVID 
104 - 51.9%</v>
      </c>
      <c r="G198" s="21" t="str">
        <f ca="1">"Max COVID 
"&amp;TEXT(G190,"#,##0")&amp;" - "&amp;TEXT(SUMIFS(Summary[Surge],Summary[Facility],B179,Summary[Type],C190,Summary[Status],"COVID")/G190,"0.0%")</f>
        <v>Max COVID 
104 - 51.9%</v>
      </c>
      <c r="H198" s="22" t="str">
        <f ca="1">"Max COVID 
"&amp;TEXT(H190,"#,##0")&amp;" - "&amp;TEXT(SUMIFS(Summary[Next Up],Summary[Facility],B179,Summary[Type],C190,Summary[Status],"COVID")/H190,"0.0%")</f>
        <v>Max COVID 
104 - 51.9%</v>
      </c>
    </row>
    <row r="199" spans="2:8" x14ac:dyDescent="0.35">
      <c r="B199" s="28"/>
      <c r="C199" s="29"/>
      <c r="D199" s="39" t="s">
        <v>246</v>
      </c>
      <c r="E199" s="21" t="str">
        <f ca="1">"Crisis COVID 
"&amp;TEXT(+E190+E191,"#,##0")&amp;" - "&amp;TEXT(SUMIFS(Summary[Baseline],Summary[Facility],$B179,Summary[Type],$C190,Summary[Status],"COVID")/(E190+E191),"0.0%")</f>
        <v>Crisis COVID 
104 - 28.8%</v>
      </c>
      <c r="F199" s="21" t="str">
        <f ca="1">"Crisis COVID 
"&amp;TEXT(+F190+F191,"#,##0")&amp;" - "&amp;TEXT(SUMIFS(Summary[Ramp Up],Summary[Facility],$B179,Summary[Type],$C190,Summary[Status],"COVID")/(F190+F191),"0.0%")</f>
        <v>Crisis COVID 
104 - 51.9%</v>
      </c>
      <c r="G199" s="21" t="str">
        <f ca="1">"Crisis COVID 
"&amp;TEXT(+G190+G191,"#,##0")&amp;" - "&amp;TEXT(SUMIFS(Summary[Surge],Summary[Facility],$B179,Summary[Type],$C190,Summary[Status],"COVID")/(G190+G191),"0.0%")</f>
        <v>Crisis COVID 
104 - 51.9%</v>
      </c>
      <c r="H199" s="22" t="str">
        <f ca="1">"Crisis COVID 
"&amp;TEXT(+H190+H191,"#,##0")&amp;" - "&amp;TEXT(SUMIFS(Summary[Next Up],Summary[Facility],$B179,Summary[Type],$C190,Summary[Status],"COVID")/(H190+H191),"0.0%")</f>
        <v>Crisis COVID 
104 - 51.9%</v>
      </c>
    </row>
    <row r="200" spans="2:8" x14ac:dyDescent="0.35">
      <c r="B200" s="28"/>
      <c r="C200" s="29"/>
      <c r="D200" s="20" t="s">
        <v>221</v>
      </c>
      <c r="E200" s="21" t="str">
        <f ca="1">"All Beds
"&amp;TEXT(E193,"#,##0")&amp;" - "&amp;TEXT(SUMIFS(Summary[Baseline],Summary[Facility],B179,Summary[Type],C190,Summary[Status],"COVID")/E193,"0.0%")</f>
        <v>All Beds
275 - 10.9%</v>
      </c>
      <c r="F200" s="21" t="str">
        <f ca="1">"All Beds
"&amp;TEXT(F193,"#,##0")&amp;" - "&amp;TEXT(SUMIFS(Summary[Ramp Up],Summary[Facility],B179,Summary[Type],C190,Summary[Status],"COVID")/F193,"0.0%")</f>
        <v>All Beds
275 - 19.6%</v>
      </c>
      <c r="G200" s="21" t="str">
        <f ca="1">"All Beds
"&amp;TEXT(G193,"#,##0")&amp;" - "&amp;TEXT(SUMIFS(Summary[Surge],Summary[Facility],B179,Summary[Type],C190,Summary[Status],"COVID")/G193,"0.0%")</f>
        <v>All Beds
275 - 19.6%</v>
      </c>
      <c r="H200" s="22" t="str">
        <f ca="1">"All Beds
"&amp;TEXT(H193,"#,##0")&amp;" - "&amp;TEXT(SUMIFS(Summary[Next Up],Summary[Facility],B179,Summary[Type],C190,Summary[Status],"COVID")/H193,"0.0%")</f>
        <v>All Beds
275 - 19.6%</v>
      </c>
    </row>
    <row r="201" spans="2:8" ht="13.5" thickBot="1" x14ac:dyDescent="0.4">
      <c r="B201" s="30"/>
      <c r="C201" s="31"/>
      <c r="D201" s="23" t="s">
        <v>223</v>
      </c>
      <c r="E201" s="24" t="str">
        <f ca="1">"Total COVID
"&amp;TEXT(SUM(VALUE(E186),VALUE(E197)),"#,##0")</f>
        <v>Total COVID
42</v>
      </c>
      <c r="F201" s="24" t="str">
        <f ca="1">"Total COVID
"&amp;TEXT(SUM(VALUE(F186),VALUE(F197)),"#,##0")</f>
        <v>Total COVID
66</v>
      </c>
      <c r="G201" s="24" t="str">
        <f ca="1">"Total COVID
"&amp;TEXT(SUM(VALUE(G186),VALUE(G197)),"#,##0")</f>
        <v>Total COVID
66</v>
      </c>
      <c r="H201" s="25" t="str">
        <f ca="1">"Total COVID
"&amp;TEXT(SUM(VALUE(H186),VALUE(H197)),"#,##0")</f>
        <v>Total COVID
66</v>
      </c>
    </row>
  </sheetData>
  <pageMargins left="0.7" right="0.7" top="0.75" bottom="0.75" header="0.3" footer="0.3"/>
  <pageSetup orientation="portrait" r:id="rId3"/>
  <tableParts count="2">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1"/>
  <sheetViews>
    <sheetView workbookViewId="0"/>
  </sheetViews>
  <sheetFormatPr defaultRowHeight="13.15" x14ac:dyDescent="0.35"/>
  <cols>
    <col min="1" max="1" width="3.3984375" customWidth="1"/>
  </cols>
  <sheetData>
    <row r="1" spans="1:1" s="33" customFormat="1" ht="80.099999999999994" customHeight="1" x14ac:dyDescent="0.35">
      <c r="A1" s="34" t="s">
        <v>236</v>
      </c>
    </row>
    <row r="2" spans="1:1" s="33" customFormat="1" ht="2.1" customHeight="1" x14ac:dyDescent="0.35">
      <c r="A2" s="35"/>
    </row>
    <row r="3" spans="1:1" ht="80.099999999999994" customHeight="1" x14ac:dyDescent="0.35">
      <c r="A3" s="34" t="s">
        <v>118</v>
      </c>
    </row>
    <row r="4" spans="1:1" ht="2.1" customHeight="1" x14ac:dyDescent="0.35">
      <c r="A4" s="35"/>
    </row>
    <row r="5" spans="1:1" ht="80.099999999999994" customHeight="1" x14ac:dyDescent="0.35">
      <c r="A5" s="34" t="s">
        <v>88</v>
      </c>
    </row>
    <row r="6" spans="1:1" ht="2.1" customHeight="1" x14ac:dyDescent="0.35">
      <c r="A6" s="35"/>
    </row>
    <row r="7" spans="1:1" ht="80.099999999999994" customHeight="1" x14ac:dyDescent="0.35">
      <c r="A7" s="34" t="s">
        <v>4</v>
      </c>
    </row>
    <row r="8" spans="1:1" ht="2.1" customHeight="1" x14ac:dyDescent="0.35">
      <c r="A8" s="35"/>
    </row>
    <row r="9" spans="1:1" ht="80.099999999999994" customHeight="1" x14ac:dyDescent="0.35">
      <c r="A9" s="34" t="s">
        <v>164</v>
      </c>
    </row>
    <row r="10" spans="1:1" ht="2.1" customHeight="1" x14ac:dyDescent="0.35">
      <c r="A10" s="35"/>
    </row>
    <row r="11" spans="1:1" ht="80.099999999999994" customHeight="1" x14ac:dyDescent="0.35">
      <c r="A11" s="34" t="s">
        <v>239</v>
      </c>
    </row>
  </sheetData>
  <conditionalFormatting sqref="A1">
    <cfRule type="expression" dxfId="24" priority="2">
      <formula>IF(COUNTA(F2Out)&lt;5,TRUE(),FALSE())</formula>
    </cfRule>
  </conditionalFormatting>
  <conditionalFormatting sqref="A3 A5 A7 A9 A11">
    <cfRule type="expression" dxfId="23" priority="1">
      <formula>AND(NOT(COUNTA(F2Out)=5),NOT(ISNA(MATCH(A3,F2Out,0))))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5:J282"/>
  <sheetViews>
    <sheetView tabSelected="1" zoomScale="70" zoomScaleNormal="70" workbookViewId="0">
      <selection activeCell="H53" sqref="H53"/>
    </sheetView>
  </sheetViews>
  <sheetFormatPr defaultColWidth="10.73046875" defaultRowHeight="13.15" x14ac:dyDescent="0.35"/>
  <cols>
    <col min="1" max="1" width="10.73046875" style="1" customWidth="1"/>
    <col min="2" max="2" width="10.73046875" style="3"/>
    <col min="3" max="3" width="21.1328125" style="1" customWidth="1"/>
    <col min="4" max="4" width="52.1328125" style="1" bestFit="1" customWidth="1"/>
    <col min="5" max="6" width="10.73046875" style="1" customWidth="1"/>
    <col min="7" max="16384" width="10.73046875" style="1"/>
  </cols>
  <sheetData>
    <row r="5" spans="1:10" ht="39.4" x14ac:dyDescent="0.35">
      <c r="A5" s="2" t="s">
        <v>186</v>
      </c>
      <c r="B5" s="2" t="s">
        <v>203</v>
      </c>
      <c r="C5" s="2" t="s">
        <v>0</v>
      </c>
      <c r="D5" s="2" t="s">
        <v>3</v>
      </c>
      <c r="E5" s="2" t="s">
        <v>2</v>
      </c>
      <c r="F5" s="2" t="s">
        <v>1</v>
      </c>
      <c r="G5" s="2" t="s">
        <v>204</v>
      </c>
      <c r="H5" s="2" t="s">
        <v>205</v>
      </c>
      <c r="I5" s="2" t="s">
        <v>206</v>
      </c>
      <c r="J5" s="2" t="s">
        <v>189</v>
      </c>
    </row>
    <row r="6" spans="1:10" hidden="1" x14ac:dyDescent="0.35">
      <c r="A6" s="4">
        <f>_xlfn.AGGREGATE(3,5,MaxData[[#This Row],[Facility]])</f>
        <v>0</v>
      </c>
      <c r="B6" s="4" t="s">
        <v>4</v>
      </c>
      <c r="C6" s="5" t="s">
        <v>53</v>
      </c>
      <c r="D6" s="5" t="s">
        <v>7</v>
      </c>
      <c r="E6" s="5" t="s">
        <v>19</v>
      </c>
      <c r="F6" s="4">
        <v>18</v>
      </c>
      <c r="G6" s="4" t="s">
        <v>19</v>
      </c>
      <c r="H6" s="4" t="s">
        <v>187</v>
      </c>
      <c r="I6" s="4"/>
      <c r="J6" s="4">
        <f>IF(MaxData[[#This Row],[Max COVID Status]]="Non",1,IF(MaxData[[#This Row],[Max COVID Status]]="Crisis",2,0))</f>
        <v>0</v>
      </c>
    </row>
    <row r="7" spans="1:10" hidden="1" x14ac:dyDescent="0.35">
      <c r="A7" s="4">
        <f>_xlfn.AGGREGATE(3,5,MaxData[[#This Row],[Facility]])</f>
        <v>0</v>
      </c>
      <c r="B7" s="4" t="s">
        <v>4</v>
      </c>
      <c r="C7" s="5" t="s">
        <v>53</v>
      </c>
      <c r="D7" s="5" t="s">
        <v>10</v>
      </c>
      <c r="E7" s="5" t="s">
        <v>19</v>
      </c>
      <c r="F7" s="4">
        <v>2</v>
      </c>
      <c r="G7" s="4" t="s">
        <v>19</v>
      </c>
      <c r="H7" s="4" t="s">
        <v>187</v>
      </c>
      <c r="I7" s="4"/>
      <c r="J7" s="4">
        <f>IF(MaxData[[#This Row],[Max COVID Status]]="Non",1,IF(MaxData[[#This Row],[Max COVID Status]]="Crisis",2,0))</f>
        <v>0</v>
      </c>
    </row>
    <row r="8" spans="1:10" hidden="1" x14ac:dyDescent="0.35">
      <c r="A8" s="4">
        <f>_xlfn.AGGREGATE(3,5,MaxData[[#This Row],[Facility]])</f>
        <v>0</v>
      </c>
      <c r="B8" s="4" t="s">
        <v>4</v>
      </c>
      <c r="C8" s="5" t="s">
        <v>54</v>
      </c>
      <c r="D8" s="5" t="s">
        <v>7</v>
      </c>
      <c r="E8" s="5" t="s">
        <v>19</v>
      </c>
      <c r="F8" s="4">
        <v>18</v>
      </c>
      <c r="G8" s="4" t="s">
        <v>19</v>
      </c>
      <c r="H8" s="4" t="s">
        <v>245</v>
      </c>
      <c r="I8" s="4"/>
      <c r="J8" s="4">
        <f>IF(MaxData[[#This Row],[Max COVID Status]]="Non",1,IF(MaxData[[#This Row],[Max COVID Status]]="Crisis",2,0))</f>
        <v>2</v>
      </c>
    </row>
    <row r="9" spans="1:10" hidden="1" x14ac:dyDescent="0.35">
      <c r="A9" s="4">
        <f>_xlfn.AGGREGATE(3,5,MaxData[[#This Row],[Facility]])</f>
        <v>0</v>
      </c>
      <c r="B9" s="4" t="s">
        <v>4</v>
      </c>
      <c r="C9" s="5" t="s">
        <v>54</v>
      </c>
      <c r="D9" s="5" t="s">
        <v>10</v>
      </c>
      <c r="E9" s="5" t="s">
        <v>19</v>
      </c>
      <c r="F9" s="4">
        <v>2</v>
      </c>
      <c r="G9" s="4" t="s">
        <v>19</v>
      </c>
      <c r="H9" s="4" t="s">
        <v>245</v>
      </c>
      <c r="I9" s="4"/>
      <c r="J9" s="4">
        <f>IF(MaxData[[#This Row],[Max COVID Status]]="Non",1,IF(MaxData[[#This Row],[Max COVID Status]]="Crisis",2,0))</f>
        <v>2</v>
      </c>
    </row>
    <row r="10" spans="1:10" hidden="1" x14ac:dyDescent="0.35">
      <c r="A10" s="4">
        <f>_xlfn.AGGREGATE(3,5,MaxData[[#This Row],[Facility]])</f>
        <v>0</v>
      </c>
      <c r="B10" s="4" t="s">
        <v>4</v>
      </c>
      <c r="C10" s="5" t="s">
        <v>71</v>
      </c>
      <c r="D10" s="5" t="s">
        <v>7</v>
      </c>
      <c r="E10" s="5" t="s">
        <v>19</v>
      </c>
      <c r="F10" s="4">
        <v>28</v>
      </c>
      <c r="G10" s="4" t="s">
        <v>19</v>
      </c>
      <c r="H10" s="4" t="s">
        <v>187</v>
      </c>
      <c r="I10" s="4"/>
      <c r="J10" s="4">
        <f>IF(MaxData[[#This Row],[Max COVID Status]]="Non",1,IF(MaxData[[#This Row],[Max COVID Status]]="Crisis",2,0))</f>
        <v>0</v>
      </c>
    </row>
    <row r="11" spans="1:10" hidden="1" x14ac:dyDescent="0.35">
      <c r="A11" s="4">
        <f>_xlfn.AGGREGATE(3,5,MaxData[[#This Row],[Facility]])</f>
        <v>0</v>
      </c>
      <c r="B11" s="4" t="s">
        <v>4</v>
      </c>
      <c r="C11" s="5" t="s">
        <v>71</v>
      </c>
      <c r="D11" s="5" t="s">
        <v>10</v>
      </c>
      <c r="E11" s="5" t="s">
        <v>19</v>
      </c>
      <c r="F11" s="4">
        <v>4</v>
      </c>
      <c r="G11" s="4" t="s">
        <v>19</v>
      </c>
      <c r="H11" s="4" t="s">
        <v>187</v>
      </c>
      <c r="I11" s="4"/>
      <c r="J11" s="4">
        <f>IF(MaxData[[#This Row],[Max COVID Status]]="Non",1,IF(MaxData[[#This Row],[Max COVID Status]]="Crisis",2,0))</f>
        <v>0</v>
      </c>
    </row>
    <row r="12" spans="1:10" hidden="1" x14ac:dyDescent="0.35">
      <c r="A12" s="4">
        <f>_xlfn.AGGREGATE(3,5,MaxData[[#This Row],[Facility]])</f>
        <v>0</v>
      </c>
      <c r="B12" s="4" t="s">
        <v>4</v>
      </c>
      <c r="C12" s="5" t="s">
        <v>55</v>
      </c>
      <c r="D12" s="5" t="s">
        <v>7</v>
      </c>
      <c r="E12" s="5" t="s">
        <v>19</v>
      </c>
      <c r="F12" s="4">
        <v>17</v>
      </c>
      <c r="G12" s="4" t="s">
        <v>19</v>
      </c>
      <c r="H12" s="4" t="s">
        <v>187</v>
      </c>
      <c r="I12" s="4"/>
      <c r="J12" s="4">
        <f>IF(MaxData[[#This Row],[Max COVID Status]]="Non",1,IF(MaxData[[#This Row],[Max COVID Status]]="Crisis",2,0))</f>
        <v>0</v>
      </c>
    </row>
    <row r="13" spans="1:10" hidden="1" x14ac:dyDescent="0.35">
      <c r="A13" s="4">
        <f>_xlfn.AGGREGATE(3,5,MaxData[[#This Row],[Facility]])</f>
        <v>0</v>
      </c>
      <c r="B13" s="4" t="s">
        <v>4</v>
      </c>
      <c r="C13" s="5" t="s">
        <v>55</v>
      </c>
      <c r="D13" s="5" t="s">
        <v>10</v>
      </c>
      <c r="E13" s="5" t="s">
        <v>19</v>
      </c>
      <c r="F13" s="4">
        <v>3</v>
      </c>
      <c r="G13" s="4" t="s">
        <v>19</v>
      </c>
      <c r="H13" s="4" t="s">
        <v>187</v>
      </c>
      <c r="I13" s="4"/>
      <c r="J13" s="4">
        <f>IF(MaxData[[#This Row],[Max COVID Status]]="Non",1,IF(MaxData[[#This Row],[Max COVID Status]]="Crisis",2,0))</f>
        <v>0</v>
      </c>
    </row>
    <row r="14" spans="1:10" hidden="1" x14ac:dyDescent="0.35">
      <c r="A14" s="4">
        <f>_xlfn.AGGREGATE(3,5,MaxData[[#This Row],[Facility]])</f>
        <v>0</v>
      </c>
      <c r="B14" s="4" t="s">
        <v>4</v>
      </c>
      <c r="C14" s="5" t="s">
        <v>72</v>
      </c>
      <c r="D14" s="5" t="s">
        <v>7</v>
      </c>
      <c r="E14" s="5" t="s">
        <v>19</v>
      </c>
      <c r="F14" s="4">
        <v>28</v>
      </c>
      <c r="G14" s="4" t="s">
        <v>19</v>
      </c>
      <c r="H14" s="4" t="s">
        <v>187</v>
      </c>
      <c r="I14" s="4">
        <v>-1</v>
      </c>
      <c r="J14" s="4">
        <f>IF(MaxData[[#This Row],[Max COVID Status]]="Non",1,IF(MaxData[[#This Row],[Max COVID Status]]="Crisis",2,0))</f>
        <v>0</v>
      </c>
    </row>
    <row r="15" spans="1:10" hidden="1" x14ac:dyDescent="0.35">
      <c r="A15" s="4">
        <f>_xlfn.AGGREGATE(3,5,MaxData[[#This Row],[Facility]])</f>
        <v>0</v>
      </c>
      <c r="B15" s="4" t="s">
        <v>4</v>
      </c>
      <c r="C15" s="5" t="s">
        <v>72</v>
      </c>
      <c r="D15" s="5" t="s">
        <v>10</v>
      </c>
      <c r="E15" s="5" t="s">
        <v>19</v>
      </c>
      <c r="F15" s="4">
        <v>4</v>
      </c>
      <c r="G15" s="4" t="s">
        <v>19</v>
      </c>
      <c r="H15" s="4" t="s">
        <v>187</v>
      </c>
      <c r="I15" s="4"/>
      <c r="J15" s="4">
        <f>IF(MaxData[[#This Row],[Max COVID Status]]="Non",1,IF(MaxData[[#This Row],[Max COVID Status]]="Crisis",2,0))</f>
        <v>0</v>
      </c>
    </row>
    <row r="16" spans="1:10" hidden="1" x14ac:dyDescent="0.35">
      <c r="A16" s="4">
        <f>_xlfn.AGGREGATE(3,5,MaxData[[#This Row],[Facility]])</f>
        <v>0</v>
      </c>
      <c r="B16" s="4" t="s">
        <v>4</v>
      </c>
      <c r="C16" s="5" t="s">
        <v>36</v>
      </c>
      <c r="D16" s="5" t="s">
        <v>7</v>
      </c>
      <c r="E16" s="5" t="s">
        <v>19</v>
      </c>
      <c r="F16" s="4">
        <v>22</v>
      </c>
      <c r="G16" s="4" t="s">
        <v>19</v>
      </c>
      <c r="H16" s="4" t="s">
        <v>187</v>
      </c>
      <c r="I16" s="4"/>
      <c r="J16" s="4">
        <f>IF(MaxData[[#This Row],[Max COVID Status]]="Non",1,IF(MaxData[[#This Row],[Max COVID Status]]="Crisis",2,0))</f>
        <v>0</v>
      </c>
    </row>
    <row r="17" spans="1:10" hidden="1" x14ac:dyDescent="0.35">
      <c r="A17" s="4">
        <f>_xlfn.AGGREGATE(3,5,MaxData[[#This Row],[Facility]])</f>
        <v>0</v>
      </c>
      <c r="B17" s="4" t="s">
        <v>4</v>
      </c>
      <c r="C17" s="5" t="s">
        <v>36</v>
      </c>
      <c r="D17" s="5" t="s">
        <v>10</v>
      </c>
      <c r="E17" s="5" t="s">
        <v>19</v>
      </c>
      <c r="F17" s="4">
        <v>4</v>
      </c>
      <c r="G17" s="4" t="s">
        <v>19</v>
      </c>
      <c r="H17" s="4" t="s">
        <v>187</v>
      </c>
      <c r="I17" s="4"/>
      <c r="J17" s="4">
        <f>IF(MaxData[[#This Row],[Max COVID Status]]="Non",1,IF(MaxData[[#This Row],[Max COVID Status]]="Crisis",2,0))</f>
        <v>0</v>
      </c>
    </row>
    <row r="18" spans="1:10" hidden="1" x14ac:dyDescent="0.35">
      <c r="A18" s="4">
        <f>_xlfn.AGGREGATE(3,5,MaxData[[#This Row],[Facility]])</f>
        <v>0</v>
      </c>
      <c r="B18" s="4" t="s">
        <v>4</v>
      </c>
      <c r="C18" s="5" t="s">
        <v>56</v>
      </c>
      <c r="D18" s="5" t="s">
        <v>7</v>
      </c>
      <c r="E18" s="5" t="s">
        <v>19</v>
      </c>
      <c r="F18" s="4">
        <v>15</v>
      </c>
      <c r="G18" s="4" t="s">
        <v>19</v>
      </c>
      <c r="H18" s="4" t="s">
        <v>187</v>
      </c>
      <c r="I18" s="4"/>
      <c r="J18" s="4">
        <f>IF(MaxData[[#This Row],[Max COVID Status]]="Non",1,IF(MaxData[[#This Row],[Max COVID Status]]="Crisis",2,0))</f>
        <v>0</v>
      </c>
    </row>
    <row r="19" spans="1:10" hidden="1" x14ac:dyDescent="0.35">
      <c r="A19" s="4">
        <f>_xlfn.AGGREGATE(3,5,MaxData[[#This Row],[Facility]])</f>
        <v>0</v>
      </c>
      <c r="B19" s="4" t="s">
        <v>4</v>
      </c>
      <c r="C19" s="5" t="s">
        <v>37</v>
      </c>
      <c r="D19" s="5" t="s">
        <v>7</v>
      </c>
      <c r="E19" s="5" t="s">
        <v>19</v>
      </c>
      <c r="F19" s="4">
        <v>10</v>
      </c>
      <c r="G19" s="4" t="s">
        <v>19</v>
      </c>
      <c r="H19" s="4" t="s">
        <v>245</v>
      </c>
      <c r="I19" s="4"/>
      <c r="J19" s="4">
        <f>IF(MaxData[[#This Row],[Max COVID Status]]="Non",1,IF(MaxData[[#This Row],[Max COVID Status]]="Crisis",2,0))</f>
        <v>2</v>
      </c>
    </row>
    <row r="20" spans="1:10" hidden="1" x14ac:dyDescent="0.35">
      <c r="A20" s="4">
        <f>_xlfn.AGGREGATE(3,5,MaxData[[#This Row],[Facility]])</f>
        <v>0</v>
      </c>
      <c r="B20" s="4" t="s">
        <v>4</v>
      </c>
      <c r="C20" s="5" t="s">
        <v>37</v>
      </c>
      <c r="D20" s="5" t="s">
        <v>10</v>
      </c>
      <c r="E20" s="5" t="s">
        <v>19</v>
      </c>
      <c r="F20" s="4">
        <v>4</v>
      </c>
      <c r="G20" s="4" t="s">
        <v>19</v>
      </c>
      <c r="H20" s="4" t="s">
        <v>245</v>
      </c>
      <c r="I20" s="4"/>
      <c r="J20" s="4">
        <f>IF(MaxData[[#This Row],[Max COVID Status]]="Non",1,IF(MaxData[[#This Row],[Max COVID Status]]="Crisis",2,0))</f>
        <v>2</v>
      </c>
    </row>
    <row r="21" spans="1:10" hidden="1" x14ac:dyDescent="0.35">
      <c r="A21" s="4">
        <f>_xlfn.AGGREGATE(3,5,MaxData[[#This Row],[Facility]])</f>
        <v>0</v>
      </c>
      <c r="B21" s="4" t="s">
        <v>4</v>
      </c>
      <c r="C21" s="5" t="s">
        <v>58</v>
      </c>
      <c r="D21" s="5" t="s">
        <v>7</v>
      </c>
      <c r="E21" s="5" t="s">
        <v>19</v>
      </c>
      <c r="F21" s="4">
        <v>18</v>
      </c>
      <c r="G21" s="4" t="s">
        <v>19</v>
      </c>
      <c r="H21" s="4" t="s">
        <v>245</v>
      </c>
      <c r="I21" s="4"/>
      <c r="J21" s="4">
        <f>IF(MaxData[[#This Row],[Max COVID Status]]="Non",1,IF(MaxData[[#This Row],[Max COVID Status]]="Crisis",2,0))</f>
        <v>2</v>
      </c>
    </row>
    <row r="22" spans="1:10" hidden="1" x14ac:dyDescent="0.35">
      <c r="A22" s="4">
        <f>_xlfn.AGGREGATE(3,5,MaxData[[#This Row],[Facility]])</f>
        <v>0</v>
      </c>
      <c r="B22" s="4" t="s">
        <v>4</v>
      </c>
      <c r="C22" s="5" t="s">
        <v>58</v>
      </c>
      <c r="D22" s="5" t="s">
        <v>10</v>
      </c>
      <c r="E22" s="5" t="s">
        <v>19</v>
      </c>
      <c r="F22" s="4">
        <v>2</v>
      </c>
      <c r="G22" s="4" t="s">
        <v>19</v>
      </c>
      <c r="H22" s="4" t="s">
        <v>245</v>
      </c>
      <c r="I22" s="4"/>
      <c r="J22" s="4">
        <f>IF(MaxData[[#This Row],[Max COVID Status]]="Non",1,IF(MaxData[[#This Row],[Max COVID Status]]="Crisis",2,0))</f>
        <v>2</v>
      </c>
    </row>
    <row r="23" spans="1:10" hidden="1" x14ac:dyDescent="0.35">
      <c r="A23" s="4">
        <f>_xlfn.AGGREGATE(3,5,MaxData[[#This Row],[Facility]])</f>
        <v>0</v>
      </c>
      <c r="B23" s="4" t="s">
        <v>4</v>
      </c>
      <c r="C23" s="5" t="s">
        <v>59</v>
      </c>
      <c r="D23" s="5" t="s">
        <v>7</v>
      </c>
      <c r="E23" s="5" t="s">
        <v>19</v>
      </c>
      <c r="F23" s="4">
        <v>18</v>
      </c>
      <c r="G23" s="4" t="s">
        <v>19</v>
      </c>
      <c r="H23" s="4" t="s">
        <v>187</v>
      </c>
      <c r="I23" s="4"/>
      <c r="J23" s="4">
        <f>IF(MaxData[[#This Row],[Max COVID Status]]="Non",1,IF(MaxData[[#This Row],[Max COVID Status]]="Crisis",2,0))</f>
        <v>0</v>
      </c>
    </row>
    <row r="24" spans="1:10" hidden="1" x14ac:dyDescent="0.35">
      <c r="A24" s="4">
        <f>_xlfn.AGGREGATE(3,5,MaxData[[#This Row],[Facility]])</f>
        <v>0</v>
      </c>
      <c r="B24" s="4" t="s">
        <v>4</v>
      </c>
      <c r="C24" s="5" t="s">
        <v>59</v>
      </c>
      <c r="D24" s="5" t="s">
        <v>10</v>
      </c>
      <c r="E24" s="5" t="s">
        <v>19</v>
      </c>
      <c r="F24" s="4">
        <v>2</v>
      </c>
      <c r="G24" s="4" t="s">
        <v>19</v>
      </c>
      <c r="H24" s="4" t="s">
        <v>187</v>
      </c>
      <c r="I24" s="4"/>
      <c r="J24" s="4">
        <f>IF(MaxData[[#This Row],[Max COVID Status]]="Non",1,IF(MaxData[[#This Row],[Max COVID Status]]="Crisis",2,0))</f>
        <v>0</v>
      </c>
    </row>
    <row r="25" spans="1:10" hidden="1" x14ac:dyDescent="0.35">
      <c r="A25" s="4">
        <f>_xlfn.AGGREGATE(3,5,MaxData[[#This Row],[Facility]])</f>
        <v>0</v>
      </c>
      <c r="B25" s="4" t="s">
        <v>4</v>
      </c>
      <c r="C25" s="5" t="s">
        <v>73</v>
      </c>
      <c r="D25" s="5" t="s">
        <v>7</v>
      </c>
      <c r="E25" s="5" t="s">
        <v>28</v>
      </c>
      <c r="F25" s="4">
        <v>28</v>
      </c>
      <c r="G25" s="4" t="s">
        <v>19</v>
      </c>
      <c r="H25" s="4" t="s">
        <v>245</v>
      </c>
      <c r="I25" s="4">
        <v>-1</v>
      </c>
      <c r="J25" s="4">
        <f>IF(MaxData[[#This Row],[Max COVID Status]]="Non",1,IF(MaxData[[#This Row],[Max COVID Status]]="Crisis",2,0))</f>
        <v>2</v>
      </c>
    </row>
    <row r="26" spans="1:10" hidden="1" x14ac:dyDescent="0.35">
      <c r="A26" s="4">
        <f>_xlfn.AGGREGATE(3,5,MaxData[[#This Row],[Facility]])</f>
        <v>0</v>
      </c>
      <c r="B26" s="4" t="s">
        <v>4</v>
      </c>
      <c r="C26" s="5" t="s">
        <v>73</v>
      </c>
      <c r="D26" s="5" t="s">
        <v>10</v>
      </c>
      <c r="E26" s="5" t="s">
        <v>28</v>
      </c>
      <c r="F26" s="4">
        <v>4</v>
      </c>
      <c r="G26" s="4" t="s">
        <v>19</v>
      </c>
      <c r="H26" s="4" t="s">
        <v>245</v>
      </c>
      <c r="I26" s="4"/>
      <c r="J26" s="4">
        <f>IF(MaxData[[#This Row],[Max COVID Status]]="Non",1,IF(MaxData[[#This Row],[Max COVID Status]]="Crisis",2,0))</f>
        <v>2</v>
      </c>
    </row>
    <row r="27" spans="1:10" hidden="1" x14ac:dyDescent="0.35">
      <c r="A27" s="4">
        <f>_xlfn.AGGREGATE(3,5,MaxData[[#This Row],[Facility]])</f>
        <v>0</v>
      </c>
      <c r="B27" s="4" t="s">
        <v>4</v>
      </c>
      <c r="C27" s="5" t="s">
        <v>34</v>
      </c>
      <c r="D27" s="5" t="s">
        <v>10</v>
      </c>
      <c r="E27" s="5" t="s">
        <v>23</v>
      </c>
      <c r="F27" s="4">
        <v>3</v>
      </c>
      <c r="G27" s="4" t="s">
        <v>188</v>
      </c>
      <c r="H27" s="4" t="s">
        <v>189</v>
      </c>
      <c r="I27" s="4"/>
      <c r="J27" s="4">
        <f>IF(MaxData[[#This Row],[Max COVID Status]]="Non",1,IF(MaxData[[#This Row],[Max COVID Status]]="Crisis",2,0))</f>
        <v>1</v>
      </c>
    </row>
    <row r="28" spans="1:10" hidden="1" x14ac:dyDescent="0.35">
      <c r="A28" s="4">
        <f>_xlfn.AGGREGATE(3,5,MaxData[[#This Row],[Facility]])</f>
        <v>0</v>
      </c>
      <c r="B28" s="4" t="s">
        <v>4</v>
      </c>
      <c r="C28" s="5" t="s">
        <v>38</v>
      </c>
      <c r="D28" s="5" t="s">
        <v>7</v>
      </c>
      <c r="E28" s="5" t="s">
        <v>19</v>
      </c>
      <c r="F28" s="4">
        <v>12</v>
      </c>
      <c r="G28" s="4" t="s">
        <v>19</v>
      </c>
      <c r="H28" s="4" t="s">
        <v>189</v>
      </c>
      <c r="I28" s="4"/>
      <c r="J28" s="4">
        <f>IF(MaxData[[#This Row],[Max COVID Status]]="Non",1,IF(MaxData[[#This Row],[Max COVID Status]]="Crisis",2,0))</f>
        <v>1</v>
      </c>
    </row>
    <row r="29" spans="1:10" hidden="1" x14ac:dyDescent="0.35">
      <c r="A29" s="4">
        <f>_xlfn.AGGREGATE(3,5,MaxData[[#This Row],[Facility]])</f>
        <v>0</v>
      </c>
      <c r="B29" s="4" t="s">
        <v>4</v>
      </c>
      <c r="C29" s="5" t="s">
        <v>22</v>
      </c>
      <c r="D29" s="5" t="s">
        <v>7</v>
      </c>
      <c r="E29" s="5" t="s">
        <v>23</v>
      </c>
      <c r="F29" s="4">
        <v>10</v>
      </c>
      <c r="G29" s="4" t="s">
        <v>23</v>
      </c>
      <c r="H29" s="4" t="s">
        <v>189</v>
      </c>
      <c r="I29" s="4"/>
      <c r="J29" s="4">
        <f>IF(MaxData[[#This Row],[Max COVID Status]]="Non",1,IF(MaxData[[#This Row],[Max COVID Status]]="Crisis",2,0))</f>
        <v>1</v>
      </c>
    </row>
    <row r="30" spans="1:10" hidden="1" x14ac:dyDescent="0.35">
      <c r="A30" s="4">
        <f>_xlfn.AGGREGATE(3,5,MaxData[[#This Row],[Facility]])</f>
        <v>0</v>
      </c>
      <c r="B30" s="4" t="s">
        <v>4</v>
      </c>
      <c r="C30" s="5" t="s">
        <v>22</v>
      </c>
      <c r="D30" s="5" t="s">
        <v>10</v>
      </c>
      <c r="E30" s="5" t="s">
        <v>23</v>
      </c>
      <c r="F30" s="4">
        <v>2</v>
      </c>
      <c r="G30" s="4" t="s">
        <v>23</v>
      </c>
      <c r="H30" s="4" t="s">
        <v>189</v>
      </c>
      <c r="I30" s="4"/>
      <c r="J30" s="4">
        <f>IF(MaxData[[#This Row],[Max COVID Status]]="Non",1,IF(MaxData[[#This Row],[Max COVID Status]]="Crisis",2,0))</f>
        <v>1</v>
      </c>
    </row>
    <row r="31" spans="1:10" hidden="1" x14ac:dyDescent="0.35">
      <c r="A31" s="4">
        <f>_xlfn.AGGREGATE(3,5,MaxData[[#This Row],[Facility]])</f>
        <v>0</v>
      </c>
      <c r="B31" s="4" t="s">
        <v>4</v>
      </c>
      <c r="C31" s="5" t="s">
        <v>22</v>
      </c>
      <c r="D31" s="5" t="s">
        <v>24</v>
      </c>
      <c r="E31" s="5" t="s">
        <v>23</v>
      </c>
      <c r="F31" s="4">
        <v>12</v>
      </c>
      <c r="G31" s="4" t="s">
        <v>188</v>
      </c>
      <c r="H31" s="4" t="s">
        <v>189</v>
      </c>
      <c r="I31" s="4"/>
      <c r="J31" s="4">
        <f>IF(MaxData[[#This Row],[Max COVID Status]]="Non",1,IF(MaxData[[#This Row],[Max COVID Status]]="Crisis",2,0))</f>
        <v>1</v>
      </c>
    </row>
    <row r="32" spans="1:10" hidden="1" x14ac:dyDescent="0.35">
      <c r="A32" s="4">
        <f>_xlfn.AGGREGATE(3,5,MaxData[[#This Row],[Facility]])</f>
        <v>0</v>
      </c>
      <c r="B32" s="4" t="s">
        <v>4</v>
      </c>
      <c r="C32" s="5" t="s">
        <v>248</v>
      </c>
      <c r="D32" s="5" t="s">
        <v>7</v>
      </c>
      <c r="E32" s="5" t="s">
        <v>19</v>
      </c>
      <c r="F32" s="4">
        <v>14</v>
      </c>
      <c r="G32" s="4" t="s">
        <v>19</v>
      </c>
      <c r="H32" s="4" t="s">
        <v>245</v>
      </c>
      <c r="I32" s="4"/>
      <c r="J32" s="4">
        <f>IF(MaxData[[#This Row],[Max COVID Status]]="Non",1,IF(MaxData[[#This Row],[Max COVID Status]]="Crisis",2,0))</f>
        <v>2</v>
      </c>
    </row>
    <row r="33" spans="1:10" hidden="1" x14ac:dyDescent="0.35">
      <c r="A33" s="4">
        <f>_xlfn.AGGREGATE(3,5,MaxData[[#This Row],[Facility]])</f>
        <v>0</v>
      </c>
      <c r="B33" s="4" t="s">
        <v>4</v>
      </c>
      <c r="C33" s="5" t="s">
        <v>5</v>
      </c>
      <c r="D33" s="5" t="s">
        <v>7</v>
      </c>
      <c r="E33" s="5" t="s">
        <v>6</v>
      </c>
      <c r="F33" s="4">
        <v>18</v>
      </c>
      <c r="G33" s="4" t="s">
        <v>19</v>
      </c>
      <c r="H33" s="4" t="s">
        <v>245</v>
      </c>
      <c r="I33" s="4"/>
      <c r="J33" s="4">
        <f>IF(MaxData[[#This Row],[Max COVID Status]]="Non",1,IF(MaxData[[#This Row],[Max COVID Status]]="Crisis",2,0))</f>
        <v>2</v>
      </c>
    </row>
    <row r="34" spans="1:10" hidden="1" x14ac:dyDescent="0.35">
      <c r="A34" s="4">
        <f>_xlfn.AGGREGATE(3,5,MaxData[[#This Row],[Facility]])</f>
        <v>0</v>
      </c>
      <c r="B34" s="4" t="s">
        <v>4</v>
      </c>
      <c r="C34" s="5" t="s">
        <v>74</v>
      </c>
      <c r="D34" s="5" t="s">
        <v>7</v>
      </c>
      <c r="E34" s="5" t="s">
        <v>28</v>
      </c>
      <c r="F34" s="4">
        <v>16</v>
      </c>
      <c r="G34" s="4" t="s">
        <v>19</v>
      </c>
      <c r="H34" s="4" t="s">
        <v>187</v>
      </c>
      <c r="I34" s="4"/>
      <c r="J34" s="4">
        <f>IF(MaxData[[#This Row],[Max COVID Status]]="Non",1,IF(MaxData[[#This Row],[Max COVID Status]]="Crisis",2,0))</f>
        <v>0</v>
      </c>
    </row>
    <row r="35" spans="1:10" hidden="1" x14ac:dyDescent="0.35">
      <c r="A35" s="4">
        <f>_xlfn.AGGREGATE(3,5,MaxData[[#This Row],[Facility]])</f>
        <v>0</v>
      </c>
      <c r="B35" s="4" t="s">
        <v>4</v>
      </c>
      <c r="C35" s="5" t="s">
        <v>74</v>
      </c>
      <c r="D35" s="5" t="s">
        <v>10</v>
      </c>
      <c r="E35" s="5" t="s">
        <v>28</v>
      </c>
      <c r="F35" s="4">
        <v>2</v>
      </c>
      <c r="G35" s="4" t="s">
        <v>19</v>
      </c>
      <c r="H35" s="4" t="s">
        <v>187</v>
      </c>
      <c r="I35" s="4"/>
      <c r="J35" s="4">
        <f>IF(MaxData[[#This Row],[Max COVID Status]]="Non",1,IF(MaxData[[#This Row],[Max COVID Status]]="Crisis",2,0))</f>
        <v>0</v>
      </c>
    </row>
    <row r="36" spans="1:10" hidden="1" x14ac:dyDescent="0.35">
      <c r="A36" s="4">
        <f>_xlfn.AGGREGATE(3,5,MaxData[[#This Row],[Facility]])</f>
        <v>0</v>
      </c>
      <c r="B36" s="4" t="s">
        <v>4</v>
      </c>
      <c r="C36" s="5" t="s">
        <v>75</v>
      </c>
      <c r="D36" s="5" t="s">
        <v>7</v>
      </c>
      <c r="E36" s="5" t="s">
        <v>28</v>
      </c>
      <c r="F36" s="4">
        <v>11</v>
      </c>
      <c r="G36" s="4" t="s">
        <v>23</v>
      </c>
      <c r="H36" s="4" t="s">
        <v>187</v>
      </c>
      <c r="I36" s="4"/>
      <c r="J36" s="4">
        <f>IF(MaxData[[#This Row],[Max COVID Status]]="Non",1,IF(MaxData[[#This Row],[Max COVID Status]]="Crisis",2,0))</f>
        <v>0</v>
      </c>
    </row>
    <row r="37" spans="1:10" hidden="1" x14ac:dyDescent="0.35">
      <c r="A37" s="4">
        <f>_xlfn.AGGREGATE(3,5,MaxData[[#This Row],[Facility]])</f>
        <v>0</v>
      </c>
      <c r="B37" s="4" t="s">
        <v>4</v>
      </c>
      <c r="C37" s="5" t="s">
        <v>75</v>
      </c>
      <c r="D37" s="5" t="s">
        <v>10</v>
      </c>
      <c r="E37" s="5" t="s">
        <v>28</v>
      </c>
      <c r="F37" s="4">
        <v>2</v>
      </c>
      <c r="G37" s="4" t="s">
        <v>23</v>
      </c>
      <c r="H37" s="4" t="s">
        <v>187</v>
      </c>
      <c r="I37" s="4"/>
      <c r="J37" s="4">
        <f>IF(MaxData[[#This Row],[Max COVID Status]]="Non",1,IF(MaxData[[#This Row],[Max COVID Status]]="Crisis",2,0))</f>
        <v>0</v>
      </c>
    </row>
    <row r="38" spans="1:10" hidden="1" x14ac:dyDescent="0.35">
      <c r="A38" s="4">
        <f>_xlfn.AGGREGATE(3,5,MaxData[[#This Row],[Facility]])</f>
        <v>0</v>
      </c>
      <c r="B38" s="4" t="s">
        <v>4</v>
      </c>
      <c r="C38" s="5" t="s">
        <v>76</v>
      </c>
      <c r="D38" s="5" t="s">
        <v>7</v>
      </c>
      <c r="E38" s="5" t="s">
        <v>23</v>
      </c>
      <c r="F38" s="4">
        <v>16</v>
      </c>
      <c r="G38" s="4" t="s">
        <v>23</v>
      </c>
      <c r="H38" s="4" t="s">
        <v>189</v>
      </c>
      <c r="I38" s="4"/>
      <c r="J38" s="4">
        <f>IF(MaxData[[#This Row],[Max COVID Status]]="Non",1,IF(MaxData[[#This Row],[Max COVID Status]]="Crisis",2,0))</f>
        <v>1</v>
      </c>
    </row>
    <row r="39" spans="1:10" hidden="1" x14ac:dyDescent="0.35">
      <c r="A39" s="4">
        <f>_xlfn.AGGREGATE(3,5,MaxData[[#This Row],[Facility]])</f>
        <v>0</v>
      </c>
      <c r="B39" s="4" t="s">
        <v>4</v>
      </c>
      <c r="C39" s="5" t="s">
        <v>76</v>
      </c>
      <c r="D39" s="5" t="s">
        <v>10</v>
      </c>
      <c r="E39" s="5" t="s">
        <v>23</v>
      </c>
      <c r="F39" s="4">
        <v>2</v>
      </c>
      <c r="G39" s="4" t="s">
        <v>23</v>
      </c>
      <c r="H39" s="4" t="s">
        <v>189</v>
      </c>
      <c r="I39" s="4"/>
      <c r="J39" s="4">
        <f>IF(MaxData[[#This Row],[Max COVID Status]]="Non",1,IF(MaxData[[#This Row],[Max COVID Status]]="Crisis",2,0))</f>
        <v>1</v>
      </c>
    </row>
    <row r="40" spans="1:10" hidden="1" x14ac:dyDescent="0.35">
      <c r="A40" s="4">
        <f>_xlfn.AGGREGATE(3,5,MaxData[[#This Row],[Facility]])</f>
        <v>0</v>
      </c>
      <c r="B40" s="4" t="s">
        <v>4</v>
      </c>
      <c r="C40" s="5" t="s">
        <v>76</v>
      </c>
      <c r="D40" s="5" t="s">
        <v>24</v>
      </c>
      <c r="E40" s="5" t="s">
        <v>23</v>
      </c>
      <c r="F40" s="4">
        <v>14</v>
      </c>
      <c r="G40" s="4" t="s">
        <v>188</v>
      </c>
      <c r="H40" s="4" t="s">
        <v>189</v>
      </c>
      <c r="I40" s="4"/>
      <c r="J40" s="4">
        <f>IF(MaxData[[#This Row],[Max COVID Status]]="Non",1,IF(MaxData[[#This Row],[Max COVID Status]]="Crisis",2,0))</f>
        <v>1</v>
      </c>
    </row>
    <row r="41" spans="1:10" hidden="1" x14ac:dyDescent="0.35">
      <c r="A41" s="36">
        <f>_xlfn.AGGREGATE(3,5,MaxData[[#This Row],[Facility]])</f>
        <v>0</v>
      </c>
      <c r="B41" s="36" t="s">
        <v>4</v>
      </c>
      <c r="C41" s="38" t="s">
        <v>242</v>
      </c>
      <c r="D41" s="38" t="s">
        <v>10</v>
      </c>
      <c r="E41" s="38" t="s">
        <v>23</v>
      </c>
      <c r="F41" s="36">
        <v>4</v>
      </c>
      <c r="G41" s="36" t="s">
        <v>23</v>
      </c>
      <c r="H41" s="36" t="s">
        <v>187</v>
      </c>
      <c r="I41" s="4"/>
      <c r="J41" s="4">
        <f>IF(MaxData[[#This Row],[Max COVID Status]]="Non",1,IF(MaxData[[#This Row],[Max COVID Status]]="Crisis",2,0))</f>
        <v>0</v>
      </c>
    </row>
    <row r="42" spans="1:10" hidden="1" x14ac:dyDescent="0.35">
      <c r="A42" s="4">
        <f>_xlfn.AGGREGATE(3,5,MaxData[[#This Row],[Facility]])</f>
        <v>0</v>
      </c>
      <c r="B42" s="4" t="s">
        <v>4</v>
      </c>
      <c r="C42" s="5" t="s">
        <v>8</v>
      </c>
      <c r="D42" s="5" t="s">
        <v>7</v>
      </c>
      <c r="E42" s="5" t="s">
        <v>9</v>
      </c>
      <c r="F42" s="4">
        <v>7</v>
      </c>
      <c r="G42" s="4" t="s">
        <v>19</v>
      </c>
      <c r="H42" s="4" t="s">
        <v>187</v>
      </c>
      <c r="I42" s="4"/>
      <c r="J42" s="4">
        <f>IF(MaxData[[#This Row],[Max COVID Status]]="Non",1,IF(MaxData[[#This Row],[Max COVID Status]]="Crisis",2,0))</f>
        <v>0</v>
      </c>
    </row>
    <row r="43" spans="1:10" hidden="1" x14ac:dyDescent="0.35">
      <c r="A43" s="4">
        <f>_xlfn.AGGREGATE(3,5,MaxData[[#This Row],[Facility]])</f>
        <v>0</v>
      </c>
      <c r="B43" s="4" t="s">
        <v>4</v>
      </c>
      <c r="C43" s="5" t="s">
        <v>8</v>
      </c>
      <c r="D43" s="5" t="s">
        <v>10</v>
      </c>
      <c r="E43" s="5" t="s">
        <v>9</v>
      </c>
      <c r="F43" s="4">
        <v>1</v>
      </c>
      <c r="G43" s="4" t="s">
        <v>19</v>
      </c>
      <c r="H43" s="4" t="s">
        <v>187</v>
      </c>
      <c r="I43" s="4"/>
      <c r="J43" s="4">
        <f>IF(MaxData[[#This Row],[Max COVID Status]]="Non",1,IF(MaxData[[#This Row],[Max COVID Status]]="Crisis",2,0))</f>
        <v>0</v>
      </c>
    </row>
    <row r="44" spans="1:10" hidden="1" x14ac:dyDescent="0.35">
      <c r="A44" s="4">
        <f>_xlfn.AGGREGATE(3,5,MaxData[[#This Row],[Facility]])</f>
        <v>0</v>
      </c>
      <c r="B44" s="4" t="s">
        <v>4</v>
      </c>
      <c r="C44" s="5" t="s">
        <v>39</v>
      </c>
      <c r="D44" s="5" t="s">
        <v>7</v>
      </c>
      <c r="E44" s="5" t="s">
        <v>19</v>
      </c>
      <c r="F44" s="4">
        <v>6</v>
      </c>
      <c r="G44" s="4" t="s">
        <v>19</v>
      </c>
      <c r="H44" s="4" t="s">
        <v>187</v>
      </c>
      <c r="I44" s="4"/>
      <c r="J44" s="4">
        <f>IF(MaxData[[#This Row],[Max COVID Status]]="Non",1,IF(MaxData[[#This Row],[Max COVID Status]]="Crisis",2,0))</f>
        <v>0</v>
      </c>
    </row>
    <row r="45" spans="1:10" hidden="1" x14ac:dyDescent="0.35">
      <c r="A45" s="4">
        <f>_xlfn.AGGREGATE(3,5,MaxData[[#This Row],[Facility]])</f>
        <v>0</v>
      </c>
      <c r="B45" s="4" t="s">
        <v>4</v>
      </c>
      <c r="C45" s="5" t="s">
        <v>11</v>
      </c>
      <c r="D45" s="5" t="s">
        <v>14</v>
      </c>
      <c r="E45" s="5" t="s">
        <v>13</v>
      </c>
      <c r="F45" s="4">
        <v>35</v>
      </c>
      <c r="G45" s="4" t="s">
        <v>23</v>
      </c>
      <c r="H45" s="4" t="s">
        <v>187</v>
      </c>
      <c r="I45" s="4"/>
      <c r="J45" s="4">
        <f>IF(MaxData[[#This Row],[Max COVID Status]]="Non",1,IF(MaxData[[#This Row],[Max COVID Status]]="Crisis",2,0))</f>
        <v>0</v>
      </c>
    </row>
    <row r="46" spans="1:10" hidden="1" x14ac:dyDescent="0.35">
      <c r="A46" s="4">
        <f>_xlfn.AGGREGATE(3,5,MaxData[[#This Row],[Facility]])</f>
        <v>0</v>
      </c>
      <c r="B46" s="4" t="s">
        <v>4</v>
      </c>
      <c r="C46" s="5" t="s">
        <v>11</v>
      </c>
      <c r="D46" s="5" t="s">
        <v>15</v>
      </c>
      <c r="E46" s="5" t="s">
        <v>13</v>
      </c>
      <c r="F46" s="4">
        <v>2</v>
      </c>
      <c r="G46" s="4" t="s">
        <v>23</v>
      </c>
      <c r="H46" s="4" t="s">
        <v>187</v>
      </c>
      <c r="I46" s="4"/>
      <c r="J46" s="4">
        <f>IF(MaxData[[#This Row],[Max COVID Status]]="Non",1,IF(MaxData[[#This Row],[Max COVID Status]]="Crisis",2,0))</f>
        <v>0</v>
      </c>
    </row>
    <row r="47" spans="1:10" hidden="1" x14ac:dyDescent="0.35">
      <c r="A47" s="4">
        <f>_xlfn.AGGREGATE(3,5,MaxData[[#This Row],[Facility]])</f>
        <v>0</v>
      </c>
      <c r="B47" s="4" t="s">
        <v>4</v>
      </c>
      <c r="C47" s="5" t="s">
        <v>11</v>
      </c>
      <c r="D47" s="5" t="s">
        <v>16</v>
      </c>
      <c r="E47" s="5" t="s">
        <v>13</v>
      </c>
      <c r="F47" s="4">
        <v>14</v>
      </c>
      <c r="G47" s="4" t="s">
        <v>23</v>
      </c>
      <c r="H47" s="4" t="s">
        <v>187</v>
      </c>
      <c r="I47" s="4"/>
      <c r="J47" s="4">
        <f>IF(MaxData[[#This Row],[Max COVID Status]]="Non",1,IF(MaxData[[#This Row],[Max COVID Status]]="Crisis",2,0))</f>
        <v>0</v>
      </c>
    </row>
    <row r="48" spans="1:10" hidden="1" x14ac:dyDescent="0.35">
      <c r="A48" s="4">
        <f>_xlfn.AGGREGATE(3,5,MaxData[[#This Row],[Facility]])</f>
        <v>0</v>
      </c>
      <c r="B48" s="4" t="s">
        <v>4</v>
      </c>
      <c r="C48" s="5" t="s">
        <v>82</v>
      </c>
      <c r="D48" s="5" t="s">
        <v>7</v>
      </c>
      <c r="E48" s="5" t="s">
        <v>19</v>
      </c>
      <c r="F48" s="4">
        <v>8</v>
      </c>
      <c r="G48" s="4" t="s">
        <v>19</v>
      </c>
      <c r="H48" s="4" t="s">
        <v>189</v>
      </c>
      <c r="I48" s="4"/>
      <c r="J48" s="4">
        <f>IF(MaxData[[#This Row],[Max COVID Status]]="Non",1,IF(MaxData[[#This Row],[Max COVID Status]]="Crisis",2,0))</f>
        <v>1</v>
      </c>
    </row>
    <row r="49" spans="1:10" hidden="1" x14ac:dyDescent="0.35">
      <c r="A49" s="4">
        <f>_xlfn.AGGREGATE(3,5,MaxData[[#This Row],[Facility]])</f>
        <v>0</v>
      </c>
      <c r="B49" s="4" t="s">
        <v>4</v>
      </c>
      <c r="C49" s="5" t="s">
        <v>82</v>
      </c>
      <c r="D49" s="5" t="s">
        <v>24</v>
      </c>
      <c r="E49" s="5" t="s">
        <v>19</v>
      </c>
      <c r="F49" s="4">
        <v>3</v>
      </c>
      <c r="G49" s="4" t="s">
        <v>19</v>
      </c>
      <c r="H49" s="4" t="s">
        <v>189</v>
      </c>
      <c r="I49" s="4"/>
      <c r="J49" s="4">
        <f>IF(MaxData[[#This Row],[Max COVID Status]]="Non",1,IF(MaxData[[#This Row],[Max COVID Status]]="Crisis",2,0))</f>
        <v>1</v>
      </c>
    </row>
    <row r="50" spans="1:10" hidden="1" x14ac:dyDescent="0.35">
      <c r="A50" s="4">
        <f>_xlfn.AGGREGATE(3,5,MaxData[[#This Row],[Facility]])</f>
        <v>0</v>
      </c>
      <c r="B50" s="4" t="s">
        <v>4</v>
      </c>
      <c r="C50" s="5" t="s">
        <v>47</v>
      </c>
      <c r="D50" s="5" t="s">
        <v>7</v>
      </c>
      <c r="E50" s="5" t="s">
        <v>19</v>
      </c>
      <c r="F50" s="4">
        <v>4</v>
      </c>
      <c r="G50" s="4" t="s">
        <v>19</v>
      </c>
      <c r="H50" s="4" t="s">
        <v>189</v>
      </c>
      <c r="I50" s="4"/>
      <c r="J50" s="4">
        <f>IF(MaxData[[#This Row],[Max COVID Status]]="Non",1,IF(MaxData[[#This Row],[Max COVID Status]]="Crisis",2,0))</f>
        <v>1</v>
      </c>
    </row>
    <row r="51" spans="1:10" hidden="1" x14ac:dyDescent="0.35">
      <c r="A51" s="4">
        <f>_xlfn.AGGREGATE(3,5,MaxData[[#This Row],[Facility]])</f>
        <v>0</v>
      </c>
      <c r="B51" s="4" t="s">
        <v>4</v>
      </c>
      <c r="C51" s="5" t="s">
        <v>47</v>
      </c>
      <c r="D51" s="5" t="s">
        <v>10</v>
      </c>
      <c r="E51" s="5" t="s">
        <v>19</v>
      </c>
      <c r="F51" s="4">
        <v>2</v>
      </c>
      <c r="G51" s="4" t="s">
        <v>19</v>
      </c>
      <c r="H51" s="4" t="s">
        <v>189</v>
      </c>
      <c r="I51" s="4"/>
      <c r="J51" s="4">
        <f>IF(MaxData[[#This Row],[Max COVID Status]]="Non",1,IF(MaxData[[#This Row],[Max COVID Status]]="Crisis",2,0))</f>
        <v>1</v>
      </c>
    </row>
    <row r="52" spans="1:10" hidden="1" x14ac:dyDescent="0.35">
      <c r="A52" s="4">
        <f>_xlfn.AGGREGATE(3,5,MaxData[[#This Row],[Facility]])</f>
        <v>0</v>
      </c>
      <c r="B52" s="4" t="s">
        <v>4</v>
      </c>
      <c r="C52" s="5" t="s">
        <v>66</v>
      </c>
      <c r="D52" s="5" t="s">
        <v>63</v>
      </c>
      <c r="E52" s="5" t="s">
        <v>13</v>
      </c>
      <c r="F52" s="4">
        <v>16</v>
      </c>
      <c r="G52" s="4" t="s">
        <v>23</v>
      </c>
      <c r="H52" s="4" t="s">
        <v>245</v>
      </c>
      <c r="I52" s="4"/>
      <c r="J52" s="4">
        <f>IF(MaxData[[#This Row],[Max COVID Status]]="Non",1,IF(MaxData[[#This Row],[Max COVID Status]]="Crisis",2,0))</f>
        <v>2</v>
      </c>
    </row>
    <row r="53" spans="1:10" hidden="1" x14ac:dyDescent="0.35">
      <c r="A53" s="4">
        <f>_xlfn.AGGREGATE(3,5,MaxData[[#This Row],[Facility]])</f>
        <v>0</v>
      </c>
      <c r="B53" s="4" t="s">
        <v>4</v>
      </c>
      <c r="C53" s="5" t="s">
        <v>65</v>
      </c>
      <c r="D53" s="5" t="s">
        <v>17</v>
      </c>
      <c r="E53" s="5" t="s">
        <v>13</v>
      </c>
      <c r="F53" s="4">
        <v>16</v>
      </c>
      <c r="G53" s="4" t="s">
        <v>23</v>
      </c>
      <c r="H53" s="4" t="s">
        <v>245</v>
      </c>
      <c r="I53" s="4"/>
      <c r="J53" s="4">
        <f>IF(MaxData[[#This Row],[Max COVID Status]]="Non",1,IF(MaxData[[#This Row],[Max COVID Status]]="Crisis",2,0))</f>
        <v>2</v>
      </c>
    </row>
    <row r="54" spans="1:10" hidden="1" x14ac:dyDescent="0.35">
      <c r="A54" s="4">
        <f>_xlfn.AGGREGATE(3,5,MaxData[[#This Row],[Facility]])</f>
        <v>0</v>
      </c>
      <c r="B54" s="4" t="s">
        <v>4</v>
      </c>
      <c r="C54" s="5" t="s">
        <v>77</v>
      </c>
      <c r="D54" s="5" t="s">
        <v>7</v>
      </c>
      <c r="E54" s="5" t="s">
        <v>19</v>
      </c>
      <c r="F54" s="4">
        <v>15</v>
      </c>
      <c r="G54" s="4" t="s">
        <v>19</v>
      </c>
      <c r="H54" s="4" t="s">
        <v>189</v>
      </c>
      <c r="I54" s="4"/>
      <c r="J54" s="4">
        <f>IF(MaxData[[#This Row],[Max COVID Status]]="Non",1,IF(MaxData[[#This Row],[Max COVID Status]]="Crisis",2,0))</f>
        <v>1</v>
      </c>
    </row>
    <row r="55" spans="1:10" hidden="1" x14ac:dyDescent="0.35">
      <c r="A55" s="4">
        <f>_xlfn.AGGREGATE(3,5,MaxData[[#This Row],[Facility]])</f>
        <v>0</v>
      </c>
      <c r="B55" s="4" t="s">
        <v>4</v>
      </c>
      <c r="C55" s="5" t="s">
        <v>78</v>
      </c>
      <c r="D55" s="5" t="s">
        <v>7</v>
      </c>
      <c r="E55" s="5" t="s">
        <v>19</v>
      </c>
      <c r="F55" s="4">
        <v>14</v>
      </c>
      <c r="G55" s="4" t="s">
        <v>19</v>
      </c>
      <c r="H55" s="4" t="s">
        <v>189</v>
      </c>
      <c r="I55" s="4"/>
      <c r="J55" s="4">
        <f>IF(MaxData[[#This Row],[Max COVID Status]]="Non",1,IF(MaxData[[#This Row],[Max COVID Status]]="Crisis",2,0))</f>
        <v>1</v>
      </c>
    </row>
    <row r="56" spans="1:10" hidden="1" x14ac:dyDescent="0.35">
      <c r="A56" s="4">
        <f>_xlfn.AGGREGATE(3,5,MaxData[[#This Row],[Facility]])</f>
        <v>0</v>
      </c>
      <c r="B56" s="4" t="s">
        <v>4</v>
      </c>
      <c r="C56" s="5" t="s">
        <v>67</v>
      </c>
      <c r="D56" s="5" t="s">
        <v>7</v>
      </c>
      <c r="E56" s="5" t="s">
        <v>19</v>
      </c>
      <c r="F56" s="4">
        <v>22</v>
      </c>
      <c r="G56" s="4" t="s">
        <v>19</v>
      </c>
      <c r="H56" s="4" t="s">
        <v>189</v>
      </c>
      <c r="I56" s="4"/>
      <c r="J56" s="4">
        <f>IF(MaxData[[#This Row],[Max COVID Status]]="Non",1,IF(MaxData[[#This Row],[Max COVID Status]]="Crisis",2,0))</f>
        <v>1</v>
      </c>
    </row>
    <row r="57" spans="1:10" hidden="1" x14ac:dyDescent="0.35">
      <c r="A57" s="4">
        <f>_xlfn.AGGREGATE(3,5,MaxData[[#This Row],[Facility]])</f>
        <v>0</v>
      </c>
      <c r="B57" s="4" t="s">
        <v>4</v>
      </c>
      <c r="C57" s="5" t="s">
        <v>68</v>
      </c>
      <c r="D57" s="5" t="s">
        <v>7</v>
      </c>
      <c r="E57" s="5" t="s">
        <v>19</v>
      </c>
      <c r="F57" s="4">
        <v>22</v>
      </c>
      <c r="G57" s="4" t="s">
        <v>19</v>
      </c>
      <c r="H57" s="4" t="s">
        <v>189</v>
      </c>
      <c r="I57" s="4"/>
      <c r="J57" s="4">
        <f>IF(MaxData[[#This Row],[Max COVID Status]]="Non",1,IF(MaxData[[#This Row],[Max COVID Status]]="Crisis",2,0))</f>
        <v>1</v>
      </c>
    </row>
    <row r="58" spans="1:10" hidden="1" x14ac:dyDescent="0.35">
      <c r="A58" s="4">
        <f>_xlfn.AGGREGATE(3,5,MaxData[[#This Row],[Facility]])</f>
        <v>0</v>
      </c>
      <c r="B58" s="4" t="s">
        <v>4</v>
      </c>
      <c r="C58" s="5" t="s">
        <v>69</v>
      </c>
      <c r="D58" s="5" t="s">
        <v>7</v>
      </c>
      <c r="E58" s="5" t="s">
        <v>19</v>
      </c>
      <c r="F58" s="4">
        <v>22</v>
      </c>
      <c r="G58" s="4" t="s">
        <v>19</v>
      </c>
      <c r="H58" s="4" t="s">
        <v>189</v>
      </c>
      <c r="I58" s="4"/>
      <c r="J58" s="4">
        <f>IF(MaxData[[#This Row],[Max COVID Status]]="Non",1,IF(MaxData[[#This Row],[Max COVID Status]]="Crisis",2,0))</f>
        <v>1</v>
      </c>
    </row>
    <row r="59" spans="1:10" hidden="1" x14ac:dyDescent="0.35">
      <c r="A59" s="4">
        <f>_xlfn.AGGREGATE(3,5,MaxData[[#This Row],[Facility]])</f>
        <v>0</v>
      </c>
      <c r="B59" s="4" t="s">
        <v>4</v>
      </c>
      <c r="C59" s="5" t="s">
        <v>70</v>
      </c>
      <c r="D59" s="5" t="s">
        <v>7</v>
      </c>
      <c r="E59" s="5" t="s">
        <v>19</v>
      </c>
      <c r="F59" s="4">
        <v>21</v>
      </c>
      <c r="G59" s="4" t="s">
        <v>19</v>
      </c>
      <c r="H59" s="4" t="s">
        <v>189</v>
      </c>
      <c r="I59" s="4"/>
      <c r="J59" s="4">
        <f>IF(MaxData[[#This Row],[Max COVID Status]]="Non",1,IF(MaxData[[#This Row],[Max COVID Status]]="Crisis",2,0))</f>
        <v>1</v>
      </c>
    </row>
    <row r="60" spans="1:10" hidden="1" x14ac:dyDescent="0.35">
      <c r="A60" s="4">
        <f>_xlfn.AGGREGATE(3,5,MaxData[[#This Row],[Facility]])</f>
        <v>0</v>
      </c>
      <c r="B60" s="4" t="s">
        <v>4</v>
      </c>
      <c r="C60" s="5" t="s">
        <v>25</v>
      </c>
      <c r="D60" s="5" t="s">
        <v>7</v>
      </c>
      <c r="E60" s="5" t="s">
        <v>19</v>
      </c>
      <c r="F60" s="4">
        <v>20</v>
      </c>
      <c r="G60" s="4" t="s">
        <v>19</v>
      </c>
      <c r="H60" s="4" t="s">
        <v>189</v>
      </c>
      <c r="I60" s="4"/>
      <c r="J60" s="4">
        <f>IF(MaxData[[#This Row],[Max COVID Status]]="Non",1,IF(MaxData[[#This Row],[Max COVID Status]]="Crisis",2,0))</f>
        <v>1</v>
      </c>
    </row>
    <row r="61" spans="1:10" hidden="1" x14ac:dyDescent="0.35">
      <c r="A61" s="4">
        <f>_xlfn.AGGREGATE(3,5,MaxData[[#This Row],[Facility]])</f>
        <v>0</v>
      </c>
      <c r="B61" s="4" t="s">
        <v>4</v>
      </c>
      <c r="C61" s="5" t="s">
        <v>25</v>
      </c>
      <c r="D61" s="5" t="s">
        <v>10</v>
      </c>
      <c r="E61" s="5" t="s">
        <v>19</v>
      </c>
      <c r="F61" s="4">
        <v>4</v>
      </c>
      <c r="G61" s="4" t="s">
        <v>19</v>
      </c>
      <c r="H61" s="4" t="s">
        <v>189</v>
      </c>
      <c r="I61" s="4"/>
      <c r="J61" s="4">
        <f>IF(MaxData[[#This Row],[Max COVID Status]]="Non",1,IF(MaxData[[#This Row],[Max COVID Status]]="Crisis",2,0))</f>
        <v>1</v>
      </c>
    </row>
    <row r="62" spans="1:10" hidden="1" x14ac:dyDescent="0.35">
      <c r="A62" s="4">
        <f>_xlfn.AGGREGATE(3,5,MaxData[[#This Row],[Facility]])</f>
        <v>0</v>
      </c>
      <c r="B62" s="4" t="s">
        <v>4</v>
      </c>
      <c r="C62" s="5" t="s">
        <v>230</v>
      </c>
      <c r="D62" s="5" t="s">
        <v>7</v>
      </c>
      <c r="E62" s="5" t="s">
        <v>19</v>
      </c>
      <c r="F62" s="4">
        <v>11</v>
      </c>
      <c r="G62" s="4" t="s">
        <v>19</v>
      </c>
      <c r="H62" s="4" t="s">
        <v>187</v>
      </c>
      <c r="I62" s="4"/>
      <c r="J62" s="4">
        <f>IF(MaxData[[#This Row],[Max COVID Status]]="Non",1,IF(MaxData[[#This Row],[Max COVID Status]]="Crisis",2,0))</f>
        <v>0</v>
      </c>
    </row>
    <row r="63" spans="1:10" hidden="1" x14ac:dyDescent="0.35">
      <c r="A63" s="4">
        <f>_xlfn.AGGREGATE(3,5,MaxData[[#This Row],[Facility]])</f>
        <v>0</v>
      </c>
      <c r="B63" s="4" t="s">
        <v>4</v>
      </c>
      <c r="C63" s="5" t="s">
        <v>230</v>
      </c>
      <c r="D63" s="5" t="s">
        <v>10</v>
      </c>
      <c r="E63" s="5" t="s">
        <v>19</v>
      </c>
      <c r="F63" s="4">
        <v>2</v>
      </c>
      <c r="G63" s="4" t="s">
        <v>19</v>
      </c>
      <c r="H63" s="4" t="s">
        <v>187</v>
      </c>
      <c r="I63" s="4"/>
      <c r="J63" s="4">
        <f>IF(MaxData[[#This Row],[Max COVID Status]]="Non",1,IF(MaxData[[#This Row],[Max COVID Status]]="Crisis",2,0))</f>
        <v>0</v>
      </c>
    </row>
    <row r="64" spans="1:10" hidden="1" x14ac:dyDescent="0.35">
      <c r="A64" s="4">
        <f>_xlfn.AGGREGATE(3,5,MaxData[[#This Row],[Facility]])</f>
        <v>0</v>
      </c>
      <c r="B64" s="4" t="s">
        <v>4</v>
      </c>
      <c r="C64" s="5" t="s">
        <v>231</v>
      </c>
      <c r="D64" s="5" t="s">
        <v>7</v>
      </c>
      <c r="E64" s="5" t="s">
        <v>19</v>
      </c>
      <c r="F64" s="4">
        <v>7</v>
      </c>
      <c r="G64" s="4" t="s">
        <v>19</v>
      </c>
      <c r="H64" s="4" t="s">
        <v>187</v>
      </c>
      <c r="I64" s="4"/>
      <c r="J64" s="4">
        <f>IF(MaxData[[#This Row],[Max COVID Status]]="Non",1,IF(MaxData[[#This Row],[Max COVID Status]]="Crisis",2,0))</f>
        <v>0</v>
      </c>
    </row>
    <row r="65" spans="1:10" hidden="1" x14ac:dyDescent="0.35">
      <c r="A65" s="4">
        <f>_xlfn.AGGREGATE(3,5,MaxData[[#This Row],[Facility]])</f>
        <v>0</v>
      </c>
      <c r="B65" s="4" t="s">
        <v>4</v>
      </c>
      <c r="C65" s="5" t="s">
        <v>231</v>
      </c>
      <c r="D65" s="5" t="s">
        <v>10</v>
      </c>
      <c r="E65" s="5" t="s">
        <v>19</v>
      </c>
      <c r="F65" s="4">
        <v>2</v>
      </c>
      <c r="G65" s="4" t="s">
        <v>19</v>
      </c>
      <c r="H65" s="4" t="s">
        <v>187</v>
      </c>
      <c r="I65" s="4"/>
      <c r="J65" s="4">
        <f>IF(MaxData[[#This Row],[Max COVID Status]]="Non",1,IF(MaxData[[#This Row],[Max COVID Status]]="Crisis",2,0))</f>
        <v>0</v>
      </c>
    </row>
    <row r="66" spans="1:10" hidden="1" x14ac:dyDescent="0.35">
      <c r="A66" s="4">
        <f>_xlfn.AGGREGATE(3,5,MaxData[[#This Row],[Facility]])</f>
        <v>0</v>
      </c>
      <c r="B66" s="4" t="s">
        <v>4</v>
      </c>
      <c r="C66" s="5" t="s">
        <v>26</v>
      </c>
      <c r="D66" s="5" t="s">
        <v>7</v>
      </c>
      <c r="E66" s="5" t="s">
        <v>23</v>
      </c>
      <c r="F66" s="4">
        <v>8</v>
      </c>
      <c r="G66" s="4" t="s">
        <v>23</v>
      </c>
      <c r="H66" s="4" t="s">
        <v>187</v>
      </c>
      <c r="I66" s="4"/>
      <c r="J66" s="4">
        <f>IF(MaxData[[#This Row],[Max COVID Status]]="Non",1,IF(MaxData[[#This Row],[Max COVID Status]]="Crisis",2,0))</f>
        <v>0</v>
      </c>
    </row>
    <row r="67" spans="1:10" hidden="1" x14ac:dyDescent="0.35">
      <c r="A67" s="4">
        <f>_xlfn.AGGREGATE(3,5,MaxData[[#This Row],[Facility]])</f>
        <v>0</v>
      </c>
      <c r="B67" s="4" t="s">
        <v>4</v>
      </c>
      <c r="C67" s="5" t="s">
        <v>26</v>
      </c>
      <c r="D67" s="5" t="s">
        <v>10</v>
      </c>
      <c r="E67" s="5" t="s">
        <v>23</v>
      </c>
      <c r="F67" s="4">
        <v>4</v>
      </c>
      <c r="G67" s="4" t="s">
        <v>23</v>
      </c>
      <c r="H67" s="4" t="s">
        <v>187</v>
      </c>
      <c r="I67" s="4"/>
      <c r="J67" s="4">
        <f>IF(MaxData[[#This Row],[Max COVID Status]]="Non",1,IF(MaxData[[#This Row],[Max COVID Status]]="Crisis",2,0))</f>
        <v>0</v>
      </c>
    </row>
    <row r="68" spans="1:10" hidden="1" x14ac:dyDescent="0.35">
      <c r="A68" s="4">
        <f>_xlfn.AGGREGATE(3,5,MaxData[[#This Row],[Facility]])</f>
        <v>0</v>
      </c>
      <c r="B68" s="4" t="s">
        <v>4</v>
      </c>
      <c r="C68" s="5" t="s">
        <v>232</v>
      </c>
      <c r="D68" s="5" t="s">
        <v>7</v>
      </c>
      <c r="E68" s="5" t="s">
        <v>23</v>
      </c>
      <c r="F68" s="4">
        <v>10</v>
      </c>
      <c r="G68" s="4" t="s">
        <v>23</v>
      </c>
      <c r="H68" s="4" t="s">
        <v>187</v>
      </c>
      <c r="I68" s="4"/>
      <c r="J68" s="4">
        <f>IF(MaxData[[#This Row],[Max COVID Status]]="Non",1,IF(MaxData[[#This Row],[Max COVID Status]]="Crisis",2,0))</f>
        <v>0</v>
      </c>
    </row>
    <row r="69" spans="1:10" hidden="1" x14ac:dyDescent="0.35">
      <c r="A69" s="4">
        <f>_xlfn.AGGREGATE(3,5,MaxData[[#This Row],[Facility]])</f>
        <v>0</v>
      </c>
      <c r="B69" s="4" t="s">
        <v>4</v>
      </c>
      <c r="C69" s="5" t="s">
        <v>232</v>
      </c>
      <c r="D69" s="5" t="s">
        <v>10</v>
      </c>
      <c r="E69" s="5" t="s">
        <v>23</v>
      </c>
      <c r="F69" s="4">
        <v>2</v>
      </c>
      <c r="G69" s="4" t="s">
        <v>23</v>
      </c>
      <c r="H69" s="4" t="s">
        <v>187</v>
      </c>
      <c r="I69" s="4"/>
      <c r="J69" s="4">
        <f>IF(MaxData[[#This Row],[Max COVID Status]]="Non",1,IF(MaxData[[#This Row],[Max COVID Status]]="Crisis",2,0))</f>
        <v>0</v>
      </c>
    </row>
    <row r="70" spans="1:10" hidden="1" x14ac:dyDescent="0.35">
      <c r="A70" s="4">
        <f>_xlfn.AGGREGATE(3,5,MaxData[[#This Row],[Facility]])</f>
        <v>0</v>
      </c>
      <c r="B70" s="4" t="s">
        <v>4</v>
      </c>
      <c r="C70" s="5" t="s">
        <v>27</v>
      </c>
      <c r="D70" s="5" t="s">
        <v>7</v>
      </c>
      <c r="E70" s="5" t="s">
        <v>28</v>
      </c>
      <c r="F70" s="4">
        <v>17</v>
      </c>
      <c r="G70" s="4" t="s">
        <v>23</v>
      </c>
      <c r="H70" s="4" t="s">
        <v>187</v>
      </c>
      <c r="I70" s="4"/>
      <c r="J70" s="4">
        <f>IF(MaxData[[#This Row],[Max COVID Status]]="Non",1,IF(MaxData[[#This Row],[Max COVID Status]]="Crisis",2,0))</f>
        <v>0</v>
      </c>
    </row>
    <row r="71" spans="1:10" hidden="1" x14ac:dyDescent="0.35">
      <c r="A71" s="4">
        <f>_xlfn.AGGREGATE(3,5,MaxData[[#This Row],[Facility]])</f>
        <v>0</v>
      </c>
      <c r="B71" s="4" t="s">
        <v>4</v>
      </c>
      <c r="C71" s="5" t="s">
        <v>27</v>
      </c>
      <c r="D71" s="5" t="s">
        <v>10</v>
      </c>
      <c r="E71" s="5" t="s">
        <v>28</v>
      </c>
      <c r="F71" s="4">
        <v>4</v>
      </c>
      <c r="G71" s="4" t="s">
        <v>23</v>
      </c>
      <c r="H71" s="4" t="s">
        <v>187</v>
      </c>
      <c r="I71" s="4"/>
      <c r="J71" s="4">
        <f>IF(MaxData[[#This Row],[Max COVID Status]]="Non",1,IF(MaxData[[#This Row],[Max COVID Status]]="Crisis",2,0))</f>
        <v>0</v>
      </c>
    </row>
    <row r="72" spans="1:10" hidden="1" x14ac:dyDescent="0.35">
      <c r="A72" s="4">
        <f>_xlfn.AGGREGATE(3,5,MaxData[[#This Row],[Facility]])</f>
        <v>0</v>
      </c>
      <c r="B72" s="4" t="s">
        <v>4</v>
      </c>
      <c r="C72" s="5" t="s">
        <v>41</v>
      </c>
      <c r="D72" s="5" t="s">
        <v>7</v>
      </c>
      <c r="E72" s="5" t="s">
        <v>23</v>
      </c>
      <c r="F72" s="4">
        <v>8</v>
      </c>
      <c r="G72" s="4" t="s">
        <v>23</v>
      </c>
      <c r="H72" s="4" t="s">
        <v>189</v>
      </c>
      <c r="I72" s="4"/>
      <c r="J72" s="4">
        <f>IF(MaxData[[#This Row],[Max COVID Status]]="Non",1,IF(MaxData[[#This Row],[Max COVID Status]]="Crisis",2,0))</f>
        <v>1</v>
      </c>
    </row>
    <row r="73" spans="1:10" hidden="1" x14ac:dyDescent="0.35">
      <c r="A73" s="4">
        <f>_xlfn.AGGREGATE(3,5,MaxData[[#This Row],[Facility]])</f>
        <v>0</v>
      </c>
      <c r="B73" s="4" t="s">
        <v>4</v>
      </c>
      <c r="C73" s="5" t="s">
        <v>40</v>
      </c>
      <c r="D73" s="5" t="s">
        <v>7</v>
      </c>
      <c r="E73" s="5" t="s">
        <v>23</v>
      </c>
      <c r="F73" s="4">
        <v>16</v>
      </c>
      <c r="G73" s="4" t="s">
        <v>23</v>
      </c>
      <c r="H73" s="4" t="s">
        <v>187</v>
      </c>
      <c r="I73" s="4"/>
      <c r="J73" s="4">
        <f>IF(MaxData[[#This Row],[Max COVID Status]]="Non",1,IF(MaxData[[#This Row],[Max COVID Status]]="Crisis",2,0))</f>
        <v>0</v>
      </c>
    </row>
    <row r="74" spans="1:10" hidden="1" x14ac:dyDescent="0.35">
      <c r="A74" s="4">
        <f>_xlfn.AGGREGATE(3,5,MaxData[[#This Row],[Facility]])</f>
        <v>0</v>
      </c>
      <c r="B74" s="4" t="s">
        <v>4</v>
      </c>
      <c r="C74" s="5" t="s">
        <v>29</v>
      </c>
      <c r="D74" s="5" t="s">
        <v>7</v>
      </c>
      <c r="E74" s="5" t="s">
        <v>19</v>
      </c>
      <c r="F74" s="4">
        <v>19</v>
      </c>
      <c r="G74" s="4" t="s">
        <v>19</v>
      </c>
      <c r="H74" s="4" t="s">
        <v>187</v>
      </c>
      <c r="I74" s="4">
        <v>-2</v>
      </c>
      <c r="J74" s="4">
        <f>IF(MaxData[[#This Row],[Max COVID Status]]="Non",1,IF(MaxData[[#This Row],[Max COVID Status]]="Crisis",2,0))</f>
        <v>0</v>
      </c>
    </row>
    <row r="75" spans="1:10" hidden="1" x14ac:dyDescent="0.35">
      <c r="A75" s="4">
        <f>_xlfn.AGGREGATE(3,5,MaxData[[#This Row],[Facility]])</f>
        <v>0</v>
      </c>
      <c r="B75" s="4" t="s">
        <v>4</v>
      </c>
      <c r="C75" s="5" t="s">
        <v>29</v>
      </c>
      <c r="D75" s="5" t="s">
        <v>10</v>
      </c>
      <c r="E75" s="5" t="s">
        <v>19</v>
      </c>
      <c r="F75" s="4">
        <v>4</v>
      </c>
      <c r="G75" s="4" t="s">
        <v>19</v>
      </c>
      <c r="H75" s="4" t="s">
        <v>187</v>
      </c>
      <c r="I75" s="4"/>
      <c r="J75" s="4">
        <f>IF(MaxData[[#This Row],[Max COVID Status]]="Non",1,IF(MaxData[[#This Row],[Max COVID Status]]="Crisis",2,0))</f>
        <v>0</v>
      </c>
    </row>
    <row r="76" spans="1:10" hidden="1" x14ac:dyDescent="0.35">
      <c r="A76" s="4">
        <f>_xlfn.AGGREGATE(3,5,MaxData[[#This Row],[Facility]])</f>
        <v>0</v>
      </c>
      <c r="B76" s="4" t="s">
        <v>4</v>
      </c>
      <c r="C76" s="5" t="s">
        <v>30</v>
      </c>
      <c r="D76" s="5" t="s">
        <v>7</v>
      </c>
      <c r="E76" s="5" t="s">
        <v>19</v>
      </c>
      <c r="F76" s="4">
        <v>19</v>
      </c>
      <c r="G76" s="4" t="s">
        <v>19</v>
      </c>
      <c r="H76" s="4" t="s">
        <v>187</v>
      </c>
      <c r="I76" s="4">
        <v>-2</v>
      </c>
      <c r="J76" s="4">
        <f>IF(MaxData[[#This Row],[Max COVID Status]]="Non",1,IF(MaxData[[#This Row],[Max COVID Status]]="Crisis",2,0))</f>
        <v>0</v>
      </c>
    </row>
    <row r="77" spans="1:10" hidden="1" x14ac:dyDescent="0.35">
      <c r="A77" s="4">
        <f>_xlfn.AGGREGATE(3,5,MaxData[[#This Row],[Facility]])</f>
        <v>0</v>
      </c>
      <c r="B77" s="4" t="s">
        <v>4</v>
      </c>
      <c r="C77" s="5" t="s">
        <v>30</v>
      </c>
      <c r="D77" s="5" t="s">
        <v>10</v>
      </c>
      <c r="E77" s="5" t="s">
        <v>19</v>
      </c>
      <c r="F77" s="4">
        <v>4</v>
      </c>
      <c r="G77" s="4" t="s">
        <v>19</v>
      </c>
      <c r="H77" s="4" t="s">
        <v>187</v>
      </c>
      <c r="I77" s="4"/>
      <c r="J77" s="4">
        <f>IF(MaxData[[#This Row],[Max COVID Status]]="Non",1,IF(MaxData[[#This Row],[Max COVID Status]]="Crisis",2,0))</f>
        <v>0</v>
      </c>
    </row>
    <row r="78" spans="1:10" hidden="1" x14ac:dyDescent="0.35">
      <c r="A78" s="4">
        <f>_xlfn.AGGREGATE(3,5,MaxData[[#This Row],[Facility]])</f>
        <v>0</v>
      </c>
      <c r="B78" s="4" t="s">
        <v>4</v>
      </c>
      <c r="C78" s="5" t="s">
        <v>31</v>
      </c>
      <c r="D78" s="5" t="s">
        <v>7</v>
      </c>
      <c r="E78" s="5" t="s">
        <v>19</v>
      </c>
      <c r="F78" s="4">
        <v>19</v>
      </c>
      <c r="G78" s="4" t="s">
        <v>19</v>
      </c>
      <c r="H78" s="4" t="s">
        <v>187</v>
      </c>
      <c r="I78" s="4">
        <v>-3</v>
      </c>
      <c r="J78" s="4">
        <f>IF(MaxData[[#This Row],[Max COVID Status]]="Non",1,IF(MaxData[[#This Row],[Max COVID Status]]="Crisis",2,0))</f>
        <v>0</v>
      </c>
    </row>
    <row r="79" spans="1:10" hidden="1" x14ac:dyDescent="0.35">
      <c r="A79" s="4">
        <f>_xlfn.AGGREGATE(3,5,MaxData[[#This Row],[Facility]])</f>
        <v>0</v>
      </c>
      <c r="B79" s="4" t="s">
        <v>4</v>
      </c>
      <c r="C79" s="5" t="s">
        <v>31</v>
      </c>
      <c r="D79" s="5" t="s">
        <v>10</v>
      </c>
      <c r="E79" s="5" t="s">
        <v>19</v>
      </c>
      <c r="F79" s="4">
        <v>4</v>
      </c>
      <c r="G79" s="4" t="s">
        <v>19</v>
      </c>
      <c r="H79" s="4" t="s">
        <v>187</v>
      </c>
      <c r="I79" s="4"/>
      <c r="J79" s="4">
        <f>IF(MaxData[[#This Row],[Max COVID Status]]="Non",1,IF(MaxData[[#This Row],[Max COVID Status]]="Crisis",2,0))</f>
        <v>0</v>
      </c>
    </row>
    <row r="80" spans="1:10" hidden="1" x14ac:dyDescent="0.35">
      <c r="A80" s="4">
        <f>_xlfn.AGGREGATE(3,5,MaxData[[#This Row],[Facility]])</f>
        <v>0</v>
      </c>
      <c r="B80" s="4" t="s">
        <v>4</v>
      </c>
      <c r="C80" s="5" t="s">
        <v>32</v>
      </c>
      <c r="D80" s="5" t="s">
        <v>7</v>
      </c>
      <c r="E80" s="5" t="s">
        <v>19</v>
      </c>
      <c r="F80" s="4">
        <v>19</v>
      </c>
      <c r="G80" s="4" t="s">
        <v>19</v>
      </c>
      <c r="H80" s="4" t="s">
        <v>245</v>
      </c>
      <c r="I80" s="4">
        <v>-2</v>
      </c>
      <c r="J80" s="4">
        <f>IF(MaxData[[#This Row],[Max COVID Status]]="Non",1,IF(MaxData[[#This Row],[Max COVID Status]]="Crisis",2,0))</f>
        <v>2</v>
      </c>
    </row>
    <row r="81" spans="1:10" hidden="1" x14ac:dyDescent="0.35">
      <c r="A81" s="4">
        <f>_xlfn.AGGREGATE(3,5,MaxData[[#This Row],[Facility]])</f>
        <v>0</v>
      </c>
      <c r="B81" s="4" t="s">
        <v>4</v>
      </c>
      <c r="C81" s="5" t="s">
        <v>32</v>
      </c>
      <c r="D81" s="5" t="s">
        <v>10</v>
      </c>
      <c r="E81" s="5" t="s">
        <v>19</v>
      </c>
      <c r="F81" s="4">
        <v>4</v>
      </c>
      <c r="G81" s="4" t="s">
        <v>19</v>
      </c>
      <c r="H81" s="4" t="s">
        <v>245</v>
      </c>
      <c r="I81" s="4"/>
      <c r="J81" s="4">
        <f>IF(MaxData[[#This Row],[Max COVID Status]]="Non",1,IF(MaxData[[#This Row],[Max COVID Status]]="Crisis",2,0))</f>
        <v>2</v>
      </c>
    </row>
    <row r="82" spans="1:10" hidden="1" x14ac:dyDescent="0.35">
      <c r="A82" s="4">
        <f>_xlfn.AGGREGATE(3,5,MaxData[[#This Row],[Facility]])</f>
        <v>0</v>
      </c>
      <c r="B82" s="4" t="s">
        <v>4</v>
      </c>
      <c r="C82" s="5" t="s">
        <v>33</v>
      </c>
      <c r="D82" s="5" t="s">
        <v>7</v>
      </c>
      <c r="E82" s="5" t="s">
        <v>19</v>
      </c>
      <c r="F82" s="4">
        <v>19</v>
      </c>
      <c r="G82" s="4" t="s">
        <v>19</v>
      </c>
      <c r="H82" s="4" t="s">
        <v>187</v>
      </c>
      <c r="I82" s="4">
        <v>-2</v>
      </c>
      <c r="J82" s="4">
        <f>IF(MaxData[[#This Row],[Max COVID Status]]="Non",1,IF(MaxData[[#This Row],[Max COVID Status]]="Crisis",2,0))</f>
        <v>0</v>
      </c>
    </row>
    <row r="83" spans="1:10" hidden="1" x14ac:dyDescent="0.35">
      <c r="A83" s="4">
        <f>_xlfn.AGGREGATE(3,5,MaxData[[#This Row],[Facility]])</f>
        <v>0</v>
      </c>
      <c r="B83" s="4" t="s">
        <v>4</v>
      </c>
      <c r="C83" s="5" t="s">
        <v>33</v>
      </c>
      <c r="D83" s="5" t="s">
        <v>10</v>
      </c>
      <c r="E83" s="5" t="s">
        <v>19</v>
      </c>
      <c r="F83" s="4">
        <v>4</v>
      </c>
      <c r="G83" s="4" t="s">
        <v>19</v>
      </c>
      <c r="H83" s="4" t="s">
        <v>187</v>
      </c>
      <c r="I83" s="4"/>
      <c r="J83" s="4">
        <f>IF(MaxData[[#This Row],[Max COVID Status]]="Non",1,IF(MaxData[[#This Row],[Max COVID Status]]="Crisis",2,0))</f>
        <v>0</v>
      </c>
    </row>
    <row r="84" spans="1:10" hidden="1" x14ac:dyDescent="0.35">
      <c r="A84" s="4">
        <f>_xlfn.AGGREGATE(3,5,MaxData[[#This Row],[Facility]])</f>
        <v>0</v>
      </c>
      <c r="B84" s="4" t="s">
        <v>4</v>
      </c>
      <c r="C84" s="5" t="s">
        <v>60</v>
      </c>
      <c r="D84" s="5" t="s">
        <v>7</v>
      </c>
      <c r="E84" s="5" t="s">
        <v>60</v>
      </c>
      <c r="F84" s="4">
        <v>45</v>
      </c>
      <c r="G84" s="4" t="s">
        <v>60</v>
      </c>
      <c r="H84" s="4" t="s">
        <v>189</v>
      </c>
      <c r="I84" s="4"/>
      <c r="J84" s="4">
        <f>IF(MaxData[[#This Row],[Max COVID Status]]="Non",1,IF(MaxData[[#This Row],[Max COVID Status]]="Crisis",2,0))</f>
        <v>1</v>
      </c>
    </row>
    <row r="85" spans="1:10" hidden="1" x14ac:dyDescent="0.35">
      <c r="A85" s="4">
        <f>_xlfn.AGGREGATE(3,5,MaxData[[#This Row],[Facility]])</f>
        <v>0</v>
      </c>
      <c r="B85" s="4" t="s">
        <v>4</v>
      </c>
      <c r="C85" s="5" t="s">
        <v>60</v>
      </c>
      <c r="D85" s="5" t="s">
        <v>10</v>
      </c>
      <c r="E85" s="5" t="s">
        <v>60</v>
      </c>
      <c r="F85" s="4">
        <v>4</v>
      </c>
      <c r="G85" s="4" t="s">
        <v>60</v>
      </c>
      <c r="H85" s="4" t="s">
        <v>189</v>
      </c>
      <c r="I85" s="4"/>
      <c r="J85" s="4">
        <f>IF(MaxData[[#This Row],[Max COVID Status]]="Non",1,IF(MaxData[[#This Row],[Max COVID Status]]="Crisis",2,0))</f>
        <v>1</v>
      </c>
    </row>
    <row r="86" spans="1:10" hidden="1" x14ac:dyDescent="0.35">
      <c r="A86" s="4">
        <f>_xlfn.AGGREGATE(3,5,MaxData[[#This Row],[Facility]])</f>
        <v>0</v>
      </c>
      <c r="B86" s="4" t="s">
        <v>4</v>
      </c>
      <c r="C86" s="5" t="s">
        <v>42</v>
      </c>
      <c r="D86" s="5" t="s">
        <v>7</v>
      </c>
      <c r="E86" s="5" t="s">
        <v>28</v>
      </c>
      <c r="F86" s="4">
        <v>6</v>
      </c>
      <c r="G86" s="4" t="s">
        <v>19</v>
      </c>
      <c r="H86" s="4" t="s">
        <v>189</v>
      </c>
      <c r="I86" s="4"/>
      <c r="J86" s="4">
        <f>IF(MaxData[[#This Row],[Max COVID Status]]="Non",1,IF(MaxData[[#This Row],[Max COVID Status]]="Crisis",2,0))</f>
        <v>1</v>
      </c>
    </row>
    <row r="87" spans="1:10" hidden="1" x14ac:dyDescent="0.35">
      <c r="A87" s="4">
        <f>_xlfn.AGGREGATE(3,5,MaxData[[#This Row],[Facility]])</f>
        <v>0</v>
      </c>
      <c r="B87" s="4" t="s">
        <v>4</v>
      </c>
      <c r="C87" s="5" t="s">
        <v>45</v>
      </c>
      <c r="D87" s="5" t="s">
        <v>7</v>
      </c>
      <c r="E87" s="5" t="s">
        <v>46</v>
      </c>
      <c r="F87" s="4">
        <v>25</v>
      </c>
      <c r="G87" s="4" t="s">
        <v>46</v>
      </c>
      <c r="H87" s="4" t="s">
        <v>189</v>
      </c>
      <c r="I87" s="4"/>
      <c r="J87" s="4">
        <f>IF(MaxData[[#This Row],[Max COVID Status]]="Non",1,IF(MaxData[[#This Row],[Max COVID Status]]="Crisis",2,0))</f>
        <v>1</v>
      </c>
    </row>
    <row r="88" spans="1:10" hidden="1" x14ac:dyDescent="0.35">
      <c r="A88" s="4">
        <f>_xlfn.AGGREGATE(3,5,MaxData[[#This Row],[Facility]])</f>
        <v>0</v>
      </c>
      <c r="B88" s="4" t="s">
        <v>4</v>
      </c>
      <c r="C88" s="37" t="s">
        <v>18</v>
      </c>
      <c r="D88" s="5" t="s">
        <v>7</v>
      </c>
      <c r="E88" s="5" t="s">
        <v>19</v>
      </c>
      <c r="F88" s="4">
        <v>29</v>
      </c>
      <c r="G88" s="4" t="s">
        <v>19</v>
      </c>
      <c r="H88" s="4" t="s">
        <v>189</v>
      </c>
      <c r="I88" s="4"/>
      <c r="J88" s="4">
        <f>IF(MaxData[[#This Row],[Max COVID Status]]="Non",1,IF(MaxData[[#This Row],[Max COVID Status]]="Crisis",2,0))</f>
        <v>1</v>
      </c>
    </row>
    <row r="89" spans="1:10" hidden="1" x14ac:dyDescent="0.35">
      <c r="A89" s="4">
        <f>_xlfn.AGGREGATE(3,5,MaxData[[#This Row],[Facility]])</f>
        <v>0</v>
      </c>
      <c r="B89" s="4" t="s">
        <v>4</v>
      </c>
      <c r="C89" s="37" t="s">
        <v>18</v>
      </c>
      <c r="D89" s="5" t="s">
        <v>10</v>
      </c>
      <c r="E89" s="5" t="s">
        <v>19</v>
      </c>
      <c r="F89" s="4">
        <v>2</v>
      </c>
      <c r="G89" s="4" t="s">
        <v>19</v>
      </c>
      <c r="H89" s="4" t="s">
        <v>189</v>
      </c>
      <c r="I89" s="4"/>
      <c r="J89" s="4">
        <f>IF(MaxData[[#This Row],[Max COVID Status]]="Non",1,IF(MaxData[[#This Row],[Max COVID Status]]="Crisis",2,0))</f>
        <v>1</v>
      </c>
    </row>
    <row r="90" spans="1:10" hidden="1" x14ac:dyDescent="0.35">
      <c r="A90" s="4">
        <f>_xlfn.AGGREGATE(3,5,MaxData[[#This Row],[Facility]])</f>
        <v>0</v>
      </c>
      <c r="B90" s="4" t="s">
        <v>4</v>
      </c>
      <c r="C90" s="37" t="s">
        <v>20</v>
      </c>
      <c r="D90" s="5" t="s">
        <v>7</v>
      </c>
      <c r="E90" s="5" t="s">
        <v>19</v>
      </c>
      <c r="F90" s="4">
        <v>4</v>
      </c>
      <c r="G90" s="4" t="s">
        <v>19</v>
      </c>
      <c r="H90" s="4" t="s">
        <v>187</v>
      </c>
      <c r="I90" s="4"/>
      <c r="J90" s="4">
        <f>IF(MaxData[[#This Row],[Max COVID Status]]="Non",1,IF(MaxData[[#This Row],[Max COVID Status]]="Crisis",2,0))</f>
        <v>0</v>
      </c>
    </row>
    <row r="91" spans="1:10" hidden="1" x14ac:dyDescent="0.35">
      <c r="A91" s="4">
        <f>_xlfn.AGGREGATE(3,5,MaxData[[#This Row],[Facility]])</f>
        <v>0</v>
      </c>
      <c r="B91" s="4" t="s">
        <v>4</v>
      </c>
      <c r="C91" s="5" t="s">
        <v>85</v>
      </c>
      <c r="D91" s="5" t="s">
        <v>7</v>
      </c>
      <c r="E91" s="5" t="s">
        <v>19</v>
      </c>
      <c r="F91" s="4">
        <v>11</v>
      </c>
      <c r="G91" s="4" t="s">
        <v>19</v>
      </c>
      <c r="H91" s="4" t="s">
        <v>189</v>
      </c>
      <c r="I91" s="4"/>
      <c r="J91" s="4">
        <f>IF(MaxData[[#This Row],[Max COVID Status]]="Non",1,IF(MaxData[[#This Row],[Max COVID Status]]="Crisis",2,0))</f>
        <v>1</v>
      </c>
    </row>
    <row r="92" spans="1:10" hidden="1" x14ac:dyDescent="0.35">
      <c r="A92" s="4">
        <f>_xlfn.AGGREGATE(3,5,MaxData[[#This Row],[Facility]])</f>
        <v>0</v>
      </c>
      <c r="B92" s="4" t="s">
        <v>4</v>
      </c>
      <c r="C92" s="5" t="s">
        <v>35</v>
      </c>
      <c r="D92" s="5" t="s">
        <v>7</v>
      </c>
      <c r="E92" s="5" t="s">
        <v>19</v>
      </c>
      <c r="F92" s="4">
        <v>28</v>
      </c>
      <c r="G92" s="4" t="s">
        <v>19</v>
      </c>
      <c r="H92" s="4" t="s">
        <v>189</v>
      </c>
      <c r="I92" s="4"/>
      <c r="J92" s="4">
        <f>IF(MaxData[[#This Row],[Max COVID Status]]="Non",1,IF(MaxData[[#This Row],[Max COVID Status]]="Crisis",2,0))</f>
        <v>1</v>
      </c>
    </row>
    <row r="93" spans="1:10" hidden="1" x14ac:dyDescent="0.35">
      <c r="A93" s="4">
        <f>_xlfn.AGGREGATE(3,5,MaxData[[#This Row],[Facility]])</f>
        <v>0</v>
      </c>
      <c r="B93" s="4" t="s">
        <v>4</v>
      </c>
      <c r="C93" s="5" t="s">
        <v>35</v>
      </c>
      <c r="D93" s="5" t="s">
        <v>10</v>
      </c>
      <c r="E93" s="5" t="s">
        <v>19</v>
      </c>
      <c r="F93" s="4">
        <v>4</v>
      </c>
      <c r="G93" s="4" t="s">
        <v>19</v>
      </c>
      <c r="H93" s="4" t="s">
        <v>189</v>
      </c>
      <c r="I93" s="4"/>
      <c r="J93" s="4">
        <f>IF(MaxData[[#This Row],[Max COVID Status]]="Non",1,IF(MaxData[[#This Row],[Max COVID Status]]="Crisis",2,0))</f>
        <v>1</v>
      </c>
    </row>
    <row r="94" spans="1:10" hidden="1" x14ac:dyDescent="0.35">
      <c r="A94" s="4">
        <f>_xlfn.AGGREGATE(3,5,MaxData[[#This Row],[Facility]])</f>
        <v>0</v>
      </c>
      <c r="B94" s="4" t="s">
        <v>4</v>
      </c>
      <c r="C94" s="5" t="s">
        <v>244</v>
      </c>
      <c r="D94" s="5" t="s">
        <v>7</v>
      </c>
      <c r="E94" s="5" t="s">
        <v>23</v>
      </c>
      <c r="F94" s="4">
        <v>10</v>
      </c>
      <c r="G94" s="4" t="s">
        <v>23</v>
      </c>
      <c r="H94" s="4" t="s">
        <v>189</v>
      </c>
      <c r="I94" s="4"/>
      <c r="J94" s="4">
        <f>IF(MaxData[[#This Row],[Max COVID Status]]="Non",1,IF(MaxData[[#This Row],[Max COVID Status]]="Crisis",2,0))</f>
        <v>1</v>
      </c>
    </row>
    <row r="95" spans="1:10" hidden="1" x14ac:dyDescent="0.35">
      <c r="A95" s="4">
        <f>_xlfn.AGGREGATE(3,5,MaxData[[#This Row],[Facility]])</f>
        <v>0</v>
      </c>
      <c r="B95" s="4" t="s">
        <v>4</v>
      </c>
      <c r="C95" s="5" t="s">
        <v>57</v>
      </c>
      <c r="D95" s="5" t="s">
        <v>7</v>
      </c>
      <c r="E95" s="5" t="s">
        <v>23</v>
      </c>
      <c r="F95" s="4">
        <v>26</v>
      </c>
      <c r="G95" s="4" t="s">
        <v>23</v>
      </c>
      <c r="H95" s="4" t="s">
        <v>245</v>
      </c>
      <c r="I95" s="4"/>
      <c r="J95" s="4">
        <f>IF(MaxData[[#This Row],[Max COVID Status]]="Non",1,IF(MaxData[[#This Row],[Max COVID Status]]="Crisis",2,0))</f>
        <v>2</v>
      </c>
    </row>
    <row r="96" spans="1:10" hidden="1" x14ac:dyDescent="0.35">
      <c r="A96" s="4">
        <f>_xlfn.AGGREGATE(3,5,MaxData[[#This Row],[Facility]])</f>
        <v>0</v>
      </c>
      <c r="B96" s="4" t="s">
        <v>4</v>
      </c>
      <c r="C96" s="5" t="s">
        <v>57</v>
      </c>
      <c r="D96" s="5" t="s">
        <v>10</v>
      </c>
      <c r="E96" s="5" t="s">
        <v>23</v>
      </c>
      <c r="F96" s="4">
        <v>2</v>
      </c>
      <c r="G96" s="4" t="s">
        <v>23</v>
      </c>
      <c r="H96" s="4" t="s">
        <v>245</v>
      </c>
      <c r="I96" s="4"/>
      <c r="J96" s="4">
        <f>IF(MaxData[[#This Row],[Max COVID Status]]="Non",1,IF(MaxData[[#This Row],[Max COVID Status]]="Crisis",2,0))</f>
        <v>2</v>
      </c>
    </row>
    <row r="97" spans="1:10" hidden="1" x14ac:dyDescent="0.35">
      <c r="A97" s="4">
        <f>_xlfn.AGGREGATE(3,5,MaxData[[#This Row],[Facility]])</f>
        <v>0</v>
      </c>
      <c r="B97" s="4" t="s">
        <v>4</v>
      </c>
      <c r="C97" s="5" t="s">
        <v>244</v>
      </c>
      <c r="D97" s="5" t="s">
        <v>10</v>
      </c>
      <c r="E97" s="5" t="s">
        <v>23</v>
      </c>
      <c r="F97" s="4">
        <v>2</v>
      </c>
      <c r="G97" s="4" t="s">
        <v>23</v>
      </c>
      <c r="H97" s="4" t="s">
        <v>189</v>
      </c>
      <c r="I97" s="4"/>
      <c r="J97" s="4">
        <f>IF(MaxData[[#This Row],[Max COVID Status]]="Non",1,IF(MaxData[[#This Row],[Max COVID Status]]="Crisis",2,0))</f>
        <v>1</v>
      </c>
    </row>
    <row r="98" spans="1:10" hidden="1" x14ac:dyDescent="0.35">
      <c r="A98" s="4">
        <f>_xlfn.AGGREGATE(3,5,MaxData[[#This Row],[Facility]])</f>
        <v>0</v>
      </c>
      <c r="B98" s="4" t="s">
        <v>4</v>
      </c>
      <c r="C98" s="5" t="s">
        <v>57</v>
      </c>
      <c r="D98" s="5" t="s">
        <v>24</v>
      </c>
      <c r="E98" s="5" t="s">
        <v>23</v>
      </c>
      <c r="F98" s="4">
        <v>4</v>
      </c>
      <c r="G98" s="4" t="s">
        <v>23</v>
      </c>
      <c r="H98" s="4" t="s">
        <v>245</v>
      </c>
      <c r="I98" s="4"/>
      <c r="J98" s="4">
        <f>IF(MaxData[[#This Row],[Max COVID Status]]="Non",1,IF(MaxData[[#This Row],[Max COVID Status]]="Crisis",2,0))</f>
        <v>2</v>
      </c>
    </row>
    <row r="99" spans="1:10" hidden="1" x14ac:dyDescent="0.35">
      <c r="A99" s="4">
        <f>_xlfn.AGGREGATE(3,5,MaxData[[#This Row],[Facility]])</f>
        <v>0</v>
      </c>
      <c r="B99" s="4" t="s">
        <v>4</v>
      </c>
      <c r="C99" s="5" t="s">
        <v>247</v>
      </c>
      <c r="D99" s="5" t="s">
        <v>7</v>
      </c>
      <c r="E99" s="5" t="s">
        <v>19</v>
      </c>
      <c r="F99" s="4">
        <v>5</v>
      </c>
      <c r="G99" s="4" t="s">
        <v>19</v>
      </c>
      <c r="H99" s="4" t="s">
        <v>187</v>
      </c>
      <c r="I99" s="4"/>
      <c r="J99" s="4">
        <f>IF(MaxData[[#This Row],[Max COVID Status]]="Non",1,IF(MaxData[[#This Row],[Max COVID Status]]="Crisis",2,0))</f>
        <v>0</v>
      </c>
    </row>
    <row r="100" spans="1:10" hidden="1" x14ac:dyDescent="0.35">
      <c r="A100" s="4">
        <f>_xlfn.AGGREGATE(3,5,MaxData[[#This Row],[Facility]])</f>
        <v>0</v>
      </c>
      <c r="B100" s="4" t="s">
        <v>4</v>
      </c>
      <c r="C100" s="5" t="s">
        <v>79</v>
      </c>
      <c r="D100" s="5" t="s">
        <v>7</v>
      </c>
      <c r="E100" s="5" t="s">
        <v>23</v>
      </c>
      <c r="F100" s="4">
        <v>14</v>
      </c>
      <c r="G100" s="4" t="s">
        <v>23</v>
      </c>
      <c r="H100" s="4" t="s">
        <v>187</v>
      </c>
      <c r="I100" s="4">
        <v>-1</v>
      </c>
      <c r="J100" s="4">
        <f>IF(MaxData[[#This Row],[Max COVID Status]]="Non",1,IF(MaxData[[#This Row],[Max COVID Status]]="Crisis",2,0))</f>
        <v>0</v>
      </c>
    </row>
    <row r="101" spans="1:10" hidden="1" x14ac:dyDescent="0.35">
      <c r="A101" s="4">
        <f>_xlfn.AGGREGATE(3,5,MaxData[[#This Row],[Facility]])</f>
        <v>0</v>
      </c>
      <c r="B101" s="4" t="s">
        <v>4</v>
      </c>
      <c r="C101" s="5" t="s">
        <v>79</v>
      </c>
      <c r="D101" s="5" t="s">
        <v>10</v>
      </c>
      <c r="E101" s="5" t="s">
        <v>23</v>
      </c>
      <c r="F101" s="4">
        <v>4</v>
      </c>
      <c r="G101" s="4" t="s">
        <v>23</v>
      </c>
      <c r="H101" s="4" t="s">
        <v>187</v>
      </c>
      <c r="I101" s="4"/>
      <c r="J101" s="4">
        <f>IF(MaxData[[#This Row],[Max COVID Status]]="Non",1,IF(MaxData[[#This Row],[Max COVID Status]]="Crisis",2,0))</f>
        <v>0</v>
      </c>
    </row>
    <row r="102" spans="1:10" hidden="1" x14ac:dyDescent="0.35">
      <c r="A102" s="4">
        <f>_xlfn.AGGREGATE(3,5,MaxData[[#This Row],[Facility]])</f>
        <v>0</v>
      </c>
      <c r="B102" s="4" t="s">
        <v>4</v>
      </c>
      <c r="C102" s="5" t="s">
        <v>79</v>
      </c>
      <c r="D102" s="5" t="s">
        <v>24</v>
      </c>
      <c r="E102" s="5" t="s">
        <v>23</v>
      </c>
      <c r="F102" s="4">
        <v>18</v>
      </c>
      <c r="G102" s="4" t="s">
        <v>188</v>
      </c>
      <c r="H102" s="4" t="s">
        <v>188</v>
      </c>
      <c r="I102" s="4"/>
      <c r="J102" s="4">
        <f>IF(MaxData[[#This Row],[Max COVID Status]]="Non",1,IF(MaxData[[#This Row],[Max COVID Status]]="Crisis",2,0))</f>
        <v>0</v>
      </c>
    </row>
    <row r="103" spans="1:10" hidden="1" x14ac:dyDescent="0.35">
      <c r="A103" s="4">
        <f>_xlfn.AGGREGATE(3,5,MaxData[[#This Row],[Facility]])</f>
        <v>0</v>
      </c>
      <c r="B103" s="4" t="s">
        <v>4</v>
      </c>
      <c r="C103" s="5" t="s">
        <v>62</v>
      </c>
      <c r="D103" s="5" t="s">
        <v>63</v>
      </c>
      <c r="E103" s="5" t="s">
        <v>13</v>
      </c>
      <c r="F103" s="4">
        <v>32</v>
      </c>
      <c r="G103" s="4" t="s">
        <v>188</v>
      </c>
      <c r="H103" s="4" t="s">
        <v>189</v>
      </c>
      <c r="I103" s="4"/>
      <c r="J103" s="4">
        <f>IF(MaxData[[#This Row],[Max COVID Status]]="Non",1,IF(MaxData[[#This Row],[Max COVID Status]]="Crisis",2,0))</f>
        <v>1</v>
      </c>
    </row>
    <row r="104" spans="1:10" hidden="1" x14ac:dyDescent="0.35">
      <c r="A104" s="4">
        <f>_xlfn.AGGREGATE(3,5,MaxData[[#This Row],[Facility]])</f>
        <v>0</v>
      </c>
      <c r="B104" s="4" t="s">
        <v>4</v>
      </c>
      <c r="C104" s="5" t="s">
        <v>61</v>
      </c>
      <c r="D104" s="5" t="s">
        <v>14</v>
      </c>
      <c r="E104" s="5" t="s">
        <v>13</v>
      </c>
      <c r="F104" s="4">
        <v>9</v>
      </c>
      <c r="G104" s="4" t="s">
        <v>188</v>
      </c>
      <c r="H104" s="4" t="s">
        <v>189</v>
      </c>
      <c r="I104" s="4"/>
      <c r="J104" s="4">
        <f>IF(MaxData[[#This Row],[Max COVID Status]]="Non",1,IF(MaxData[[#This Row],[Max COVID Status]]="Crisis",2,0))</f>
        <v>1</v>
      </c>
    </row>
    <row r="105" spans="1:10" hidden="1" x14ac:dyDescent="0.35">
      <c r="A105" s="4">
        <f>_xlfn.AGGREGATE(3,5,MaxData[[#This Row],[Facility]])</f>
        <v>0</v>
      </c>
      <c r="B105" s="4" t="s">
        <v>4</v>
      </c>
      <c r="C105" s="5" t="s">
        <v>61</v>
      </c>
      <c r="D105" s="5" t="s">
        <v>17</v>
      </c>
      <c r="E105" s="5" t="s">
        <v>13</v>
      </c>
      <c r="F105" s="4">
        <v>8</v>
      </c>
      <c r="G105" s="4" t="s">
        <v>188</v>
      </c>
      <c r="H105" s="4" t="s">
        <v>189</v>
      </c>
      <c r="I105" s="4"/>
      <c r="J105" s="4">
        <f>IF(MaxData[[#This Row],[Max COVID Status]]="Non",1,IF(MaxData[[#This Row],[Max COVID Status]]="Crisis",2,0))</f>
        <v>1</v>
      </c>
    </row>
    <row r="106" spans="1:10" hidden="1" x14ac:dyDescent="0.35">
      <c r="A106" s="4">
        <f>_xlfn.AGGREGATE(3,5,MaxData[[#This Row],[Facility]])</f>
        <v>0</v>
      </c>
      <c r="B106" s="4" t="s">
        <v>4</v>
      </c>
      <c r="C106" s="5" t="s">
        <v>61</v>
      </c>
      <c r="D106" s="5" t="s">
        <v>15</v>
      </c>
      <c r="E106" s="5" t="s">
        <v>13</v>
      </c>
      <c r="F106" s="4">
        <v>1</v>
      </c>
      <c r="G106" s="4" t="s">
        <v>188</v>
      </c>
      <c r="H106" s="4" t="s">
        <v>189</v>
      </c>
      <c r="I106" s="4"/>
      <c r="J106" s="4">
        <f>IF(MaxData[[#This Row],[Max COVID Status]]="Non",1,IF(MaxData[[#This Row],[Max COVID Status]]="Crisis",2,0))</f>
        <v>1</v>
      </c>
    </row>
    <row r="107" spans="1:10" hidden="1" x14ac:dyDescent="0.35">
      <c r="A107" s="4">
        <f>_xlfn.AGGREGATE(3,5,MaxData[[#This Row],[Facility]])</f>
        <v>0</v>
      </c>
      <c r="B107" s="4" t="s">
        <v>4</v>
      </c>
      <c r="C107" s="5" t="s">
        <v>80</v>
      </c>
      <c r="D107" s="5" t="s">
        <v>7</v>
      </c>
      <c r="E107" s="5" t="s">
        <v>23</v>
      </c>
      <c r="F107" s="4">
        <v>18</v>
      </c>
      <c r="G107" s="4" t="s">
        <v>23</v>
      </c>
      <c r="H107" s="4" t="s">
        <v>189</v>
      </c>
      <c r="I107" s="4"/>
      <c r="J107" s="4">
        <f>IF(MaxData[[#This Row],[Max COVID Status]]="Non",1,IF(MaxData[[#This Row],[Max COVID Status]]="Crisis",2,0))</f>
        <v>1</v>
      </c>
    </row>
    <row r="108" spans="1:10" hidden="1" x14ac:dyDescent="0.35">
      <c r="A108" s="4">
        <f>_xlfn.AGGREGATE(3,5,MaxData[[#This Row],[Facility]])</f>
        <v>0</v>
      </c>
      <c r="B108" s="4" t="s">
        <v>4</v>
      </c>
      <c r="C108" s="5" t="s">
        <v>80</v>
      </c>
      <c r="D108" s="5" t="s">
        <v>10</v>
      </c>
      <c r="E108" s="5" t="s">
        <v>23</v>
      </c>
      <c r="F108" s="4">
        <v>2</v>
      </c>
      <c r="G108" s="4" t="s">
        <v>23</v>
      </c>
      <c r="H108" s="4" t="s">
        <v>189</v>
      </c>
      <c r="I108" s="4"/>
      <c r="J108" s="4">
        <f>IF(MaxData[[#This Row],[Max COVID Status]]="Non",1,IF(MaxData[[#This Row],[Max COVID Status]]="Crisis",2,0))</f>
        <v>1</v>
      </c>
    </row>
    <row r="109" spans="1:10" hidden="1" x14ac:dyDescent="0.35">
      <c r="A109" s="4">
        <f>_xlfn.AGGREGATE(3,5,MaxData[[#This Row],[Facility]])</f>
        <v>0</v>
      </c>
      <c r="B109" s="4" t="s">
        <v>4</v>
      </c>
      <c r="C109" s="5" t="s">
        <v>48</v>
      </c>
      <c r="D109" s="5" t="s">
        <v>7</v>
      </c>
      <c r="E109" s="5" t="s">
        <v>19</v>
      </c>
      <c r="F109" s="4">
        <v>16</v>
      </c>
      <c r="G109" s="4" t="s">
        <v>19</v>
      </c>
      <c r="H109" s="4" t="s">
        <v>189</v>
      </c>
      <c r="I109" s="4"/>
      <c r="J109" s="4">
        <f>IF(MaxData[[#This Row],[Max COVID Status]]="Non",1,IF(MaxData[[#This Row],[Max COVID Status]]="Crisis",2,0))</f>
        <v>1</v>
      </c>
    </row>
    <row r="110" spans="1:10" hidden="1" x14ac:dyDescent="0.35">
      <c r="A110" s="4">
        <f>_xlfn.AGGREGATE(3,5,MaxData[[#This Row],[Facility]])</f>
        <v>0</v>
      </c>
      <c r="B110" s="4" t="s">
        <v>4</v>
      </c>
      <c r="C110" s="5" t="s">
        <v>48</v>
      </c>
      <c r="D110" s="5" t="s">
        <v>10</v>
      </c>
      <c r="E110" s="5" t="s">
        <v>19</v>
      </c>
      <c r="F110" s="4">
        <v>2</v>
      </c>
      <c r="G110" s="4" t="s">
        <v>19</v>
      </c>
      <c r="H110" s="4" t="s">
        <v>189</v>
      </c>
      <c r="I110" s="4"/>
      <c r="J110" s="4">
        <f>IF(MaxData[[#This Row],[Max COVID Status]]="Non",1,IF(MaxData[[#This Row],[Max COVID Status]]="Crisis",2,0))</f>
        <v>1</v>
      </c>
    </row>
    <row r="111" spans="1:10" hidden="1" x14ac:dyDescent="0.35">
      <c r="A111" s="4">
        <f>_xlfn.AGGREGATE(3,5,MaxData[[#This Row],[Facility]])</f>
        <v>0</v>
      </c>
      <c r="B111" s="4" t="s">
        <v>4</v>
      </c>
      <c r="C111" s="5" t="s">
        <v>49</v>
      </c>
      <c r="D111" s="5" t="s">
        <v>7</v>
      </c>
      <c r="E111" s="5" t="s">
        <v>19</v>
      </c>
      <c r="F111" s="4">
        <v>13</v>
      </c>
      <c r="G111" s="4" t="s">
        <v>19</v>
      </c>
      <c r="H111" s="4" t="s">
        <v>189</v>
      </c>
      <c r="I111" s="4"/>
      <c r="J111" s="4">
        <f>IF(MaxData[[#This Row],[Max COVID Status]]="Non",1,IF(MaxData[[#This Row],[Max COVID Status]]="Crisis",2,0))</f>
        <v>1</v>
      </c>
    </row>
    <row r="112" spans="1:10" hidden="1" x14ac:dyDescent="0.35">
      <c r="A112" s="4">
        <f>_xlfn.AGGREGATE(3,5,MaxData[[#This Row],[Facility]])</f>
        <v>0</v>
      </c>
      <c r="B112" s="4" t="s">
        <v>4</v>
      </c>
      <c r="C112" s="5" t="s">
        <v>49</v>
      </c>
      <c r="D112" s="5" t="s">
        <v>10</v>
      </c>
      <c r="E112" s="5" t="s">
        <v>19</v>
      </c>
      <c r="F112" s="4">
        <v>2</v>
      </c>
      <c r="G112" s="4" t="s">
        <v>19</v>
      </c>
      <c r="H112" s="4" t="s">
        <v>189</v>
      </c>
      <c r="I112" s="4"/>
      <c r="J112" s="4">
        <f>IF(MaxData[[#This Row],[Max COVID Status]]="Non",1,IF(MaxData[[#This Row],[Max COVID Status]]="Crisis",2,0))</f>
        <v>1</v>
      </c>
    </row>
    <row r="113" spans="1:10" hidden="1" x14ac:dyDescent="0.35">
      <c r="A113" s="4">
        <f>_xlfn.AGGREGATE(3,5,MaxData[[#This Row],[Facility]])</f>
        <v>0</v>
      </c>
      <c r="B113" s="4" t="s">
        <v>4</v>
      </c>
      <c r="C113" s="5" t="s">
        <v>21</v>
      </c>
      <c r="D113" s="5" t="s">
        <v>7</v>
      </c>
      <c r="E113" s="5" t="s">
        <v>19</v>
      </c>
      <c r="F113" s="4">
        <v>12</v>
      </c>
      <c r="G113" s="4" t="s">
        <v>19</v>
      </c>
      <c r="H113" s="4" t="s">
        <v>189</v>
      </c>
      <c r="I113" s="4"/>
      <c r="J113" s="4">
        <f>IF(MaxData[[#This Row],[Max COVID Status]]="Non",1,IF(MaxData[[#This Row],[Max COVID Status]]="Crisis",2,0))</f>
        <v>1</v>
      </c>
    </row>
    <row r="114" spans="1:10" hidden="1" x14ac:dyDescent="0.35">
      <c r="A114" s="4">
        <f>_xlfn.AGGREGATE(3,5,MaxData[[#This Row],[Facility]])</f>
        <v>0</v>
      </c>
      <c r="B114" s="4" t="s">
        <v>4</v>
      </c>
      <c r="C114" s="5" t="s">
        <v>50</v>
      </c>
      <c r="D114" s="5" t="s">
        <v>7</v>
      </c>
      <c r="E114" s="5" t="s">
        <v>19</v>
      </c>
      <c r="F114" s="4">
        <v>14</v>
      </c>
      <c r="G114" s="4" t="s">
        <v>19</v>
      </c>
      <c r="H114" s="4" t="s">
        <v>189</v>
      </c>
      <c r="I114" s="4"/>
      <c r="J114" s="4">
        <f>IF(MaxData[[#This Row],[Max COVID Status]]="Non",1,IF(MaxData[[#This Row],[Max COVID Status]]="Crisis",2,0))</f>
        <v>1</v>
      </c>
    </row>
    <row r="115" spans="1:10" hidden="1" x14ac:dyDescent="0.35">
      <c r="A115" s="4">
        <f>_xlfn.AGGREGATE(3,5,MaxData[[#This Row],[Facility]])</f>
        <v>0</v>
      </c>
      <c r="B115" s="4" t="s">
        <v>4</v>
      </c>
      <c r="C115" s="5" t="s">
        <v>50</v>
      </c>
      <c r="D115" s="5" t="s">
        <v>10</v>
      </c>
      <c r="E115" s="5" t="s">
        <v>19</v>
      </c>
      <c r="F115" s="4">
        <v>2</v>
      </c>
      <c r="G115" s="4" t="s">
        <v>19</v>
      </c>
      <c r="H115" s="4" t="s">
        <v>189</v>
      </c>
      <c r="I115" s="4"/>
      <c r="J115" s="4">
        <f>IF(MaxData[[#This Row],[Max COVID Status]]="Non",1,IF(MaxData[[#This Row],[Max COVID Status]]="Crisis",2,0))</f>
        <v>1</v>
      </c>
    </row>
    <row r="116" spans="1:10" hidden="1" x14ac:dyDescent="0.35">
      <c r="A116" s="4">
        <f>_xlfn.AGGREGATE(3,5,MaxData[[#This Row],[Facility]])</f>
        <v>0</v>
      </c>
      <c r="B116" s="4" t="s">
        <v>4</v>
      </c>
      <c r="C116" s="5" t="s">
        <v>81</v>
      </c>
      <c r="D116" s="5" t="s">
        <v>7</v>
      </c>
      <c r="E116" s="5" t="s">
        <v>19</v>
      </c>
      <c r="F116" s="4">
        <v>32</v>
      </c>
      <c r="G116" s="4" t="s">
        <v>19</v>
      </c>
      <c r="H116" s="4" t="s">
        <v>189</v>
      </c>
      <c r="I116" s="4"/>
      <c r="J116" s="4">
        <f>IF(MaxData[[#This Row],[Max COVID Status]]="Non",1,IF(MaxData[[#This Row],[Max COVID Status]]="Crisis",2,0))</f>
        <v>1</v>
      </c>
    </row>
    <row r="117" spans="1:10" hidden="1" x14ac:dyDescent="0.35">
      <c r="A117" s="4">
        <f>_xlfn.AGGREGATE(3,5,MaxData[[#This Row],[Facility]])</f>
        <v>0</v>
      </c>
      <c r="B117" s="4" t="s">
        <v>4</v>
      </c>
      <c r="C117" s="5" t="s">
        <v>81</v>
      </c>
      <c r="D117" s="5" t="s">
        <v>10</v>
      </c>
      <c r="E117" s="5" t="s">
        <v>19</v>
      </c>
      <c r="F117" s="4">
        <v>4</v>
      </c>
      <c r="G117" s="4" t="s">
        <v>19</v>
      </c>
      <c r="H117" s="4" t="s">
        <v>189</v>
      </c>
      <c r="I117" s="4"/>
      <c r="J117" s="4">
        <f>IF(MaxData[[#This Row],[Max COVID Status]]="Non",1,IF(MaxData[[#This Row],[Max COVID Status]]="Crisis",2,0))</f>
        <v>1</v>
      </c>
    </row>
    <row r="118" spans="1:10" hidden="1" x14ac:dyDescent="0.35">
      <c r="A118" s="4">
        <f>_xlfn.AGGREGATE(3,5,MaxData[[#This Row],[Facility]])</f>
        <v>0</v>
      </c>
      <c r="B118" s="4" t="s">
        <v>4</v>
      </c>
      <c r="C118" s="5" t="s">
        <v>51</v>
      </c>
      <c r="D118" s="5" t="s">
        <v>7</v>
      </c>
      <c r="E118" s="5" t="s">
        <v>23</v>
      </c>
      <c r="F118" s="4">
        <v>14</v>
      </c>
      <c r="G118" s="4" t="s">
        <v>23</v>
      </c>
      <c r="H118" s="4" t="s">
        <v>189</v>
      </c>
      <c r="I118" s="4"/>
      <c r="J118" s="4">
        <f>IF(MaxData[[#This Row],[Max COVID Status]]="Non",1,IF(MaxData[[#This Row],[Max COVID Status]]="Crisis",2,0))</f>
        <v>1</v>
      </c>
    </row>
    <row r="119" spans="1:10" hidden="1" x14ac:dyDescent="0.35">
      <c r="A119" s="4">
        <f>_xlfn.AGGREGATE(3,5,MaxData[[#This Row],[Facility]])</f>
        <v>0</v>
      </c>
      <c r="B119" s="4" t="s">
        <v>4</v>
      </c>
      <c r="C119" s="5" t="s">
        <v>51</v>
      </c>
      <c r="D119" s="5" t="s">
        <v>10</v>
      </c>
      <c r="E119" s="5" t="s">
        <v>23</v>
      </c>
      <c r="F119" s="4">
        <v>2</v>
      </c>
      <c r="G119" s="4" t="s">
        <v>23</v>
      </c>
      <c r="H119" s="4" t="s">
        <v>189</v>
      </c>
      <c r="I119" s="4"/>
      <c r="J119" s="4">
        <f>IF(MaxData[[#This Row],[Max COVID Status]]="Non",1,IF(MaxData[[#This Row],[Max COVID Status]]="Crisis",2,0))</f>
        <v>1</v>
      </c>
    </row>
    <row r="120" spans="1:10" hidden="1" x14ac:dyDescent="0.35">
      <c r="A120" s="4">
        <f>_xlfn.AGGREGATE(3,5,MaxData[[#This Row],[Facility]])</f>
        <v>0</v>
      </c>
      <c r="B120" s="4" t="s">
        <v>4</v>
      </c>
      <c r="C120" s="5" t="s">
        <v>52</v>
      </c>
      <c r="D120" s="5" t="s">
        <v>7</v>
      </c>
      <c r="E120" s="5" t="s">
        <v>19</v>
      </c>
      <c r="F120" s="4">
        <v>13</v>
      </c>
      <c r="G120" s="4" t="s">
        <v>19</v>
      </c>
      <c r="H120" s="4" t="s">
        <v>189</v>
      </c>
      <c r="I120" s="4"/>
      <c r="J120" s="4">
        <f>IF(MaxData[[#This Row],[Max COVID Status]]="Non",1,IF(MaxData[[#This Row],[Max COVID Status]]="Crisis",2,0))</f>
        <v>1</v>
      </c>
    </row>
    <row r="121" spans="1:10" hidden="1" x14ac:dyDescent="0.35">
      <c r="A121" s="4">
        <f>_xlfn.AGGREGATE(3,5,MaxData[[#This Row],[Facility]])</f>
        <v>0</v>
      </c>
      <c r="B121" s="4" t="s">
        <v>4</v>
      </c>
      <c r="C121" s="5" t="s">
        <v>52</v>
      </c>
      <c r="D121" s="5" t="s">
        <v>10</v>
      </c>
      <c r="E121" s="5" t="s">
        <v>19</v>
      </c>
      <c r="F121" s="4">
        <v>2</v>
      </c>
      <c r="G121" s="4" t="s">
        <v>19</v>
      </c>
      <c r="H121" s="4" t="s">
        <v>189</v>
      </c>
      <c r="I121" s="4"/>
      <c r="J121" s="4">
        <f>IF(MaxData[[#This Row],[Max COVID Status]]="Non",1,IF(MaxData[[#This Row],[Max COVID Status]]="Crisis",2,0))</f>
        <v>1</v>
      </c>
    </row>
    <row r="122" spans="1:10" hidden="1" x14ac:dyDescent="0.35">
      <c r="A122" s="4">
        <f>_xlfn.AGGREGATE(3,5,MaxData[[#This Row],[Facility]])</f>
        <v>0</v>
      </c>
      <c r="B122" s="4" t="s">
        <v>4</v>
      </c>
      <c r="C122" s="5" t="s">
        <v>87</v>
      </c>
      <c r="D122" s="5" t="s">
        <v>63</v>
      </c>
      <c r="E122" s="5" t="s">
        <v>13</v>
      </c>
      <c r="F122" s="4">
        <v>12</v>
      </c>
      <c r="G122" s="4" t="s">
        <v>188</v>
      </c>
      <c r="H122" s="4" t="s">
        <v>188</v>
      </c>
      <c r="I122" s="4"/>
      <c r="J122" s="4">
        <f>IF(MaxData[[#This Row],[Max COVID Status]]="Non",1,IF(MaxData[[#This Row],[Max COVID Status]]="Crisis",2,0))</f>
        <v>0</v>
      </c>
    </row>
    <row r="123" spans="1:10" hidden="1" x14ac:dyDescent="0.35">
      <c r="A123" s="4">
        <f>_xlfn.AGGREGATE(3,5,MaxData[[#This Row],[Facility]])</f>
        <v>0</v>
      </c>
      <c r="B123" s="4" t="s">
        <v>4</v>
      </c>
      <c r="C123" s="5" t="s">
        <v>86</v>
      </c>
      <c r="D123" s="5" t="s">
        <v>14</v>
      </c>
      <c r="E123" s="5" t="s">
        <v>13</v>
      </c>
      <c r="F123" s="4">
        <v>18</v>
      </c>
      <c r="G123" s="4" t="s">
        <v>188</v>
      </c>
      <c r="H123" s="4" t="s">
        <v>188</v>
      </c>
      <c r="I123" s="4"/>
      <c r="J123" s="4">
        <f>IF(MaxData[[#This Row],[Max COVID Status]]="Non",1,IF(MaxData[[#This Row],[Max COVID Status]]="Crisis",2,0))</f>
        <v>0</v>
      </c>
    </row>
    <row r="124" spans="1:10" hidden="1" x14ac:dyDescent="0.35">
      <c r="A124" s="4">
        <f>_xlfn.AGGREGATE(3,5,MaxData[[#This Row],[Facility]])</f>
        <v>0</v>
      </c>
      <c r="B124" s="4" t="s">
        <v>4</v>
      </c>
      <c r="C124" s="5" t="s">
        <v>253</v>
      </c>
      <c r="D124" s="5" t="s">
        <v>63</v>
      </c>
      <c r="E124" s="5" t="s">
        <v>13</v>
      </c>
      <c r="F124" s="4">
        <v>16</v>
      </c>
      <c r="G124" s="4" t="s">
        <v>23</v>
      </c>
      <c r="H124" s="4" t="s">
        <v>245</v>
      </c>
      <c r="I124" s="4"/>
      <c r="J124" s="4">
        <f>IF(MaxData[[#This Row],[Max COVID Status]]="Non",1,IF(MaxData[[#This Row],[Max COVID Status]]="Crisis",2,0))</f>
        <v>2</v>
      </c>
    </row>
    <row r="125" spans="1:10" hidden="1" x14ac:dyDescent="0.35">
      <c r="A125" s="4">
        <f>_xlfn.AGGREGATE(3,5,MaxData[[#This Row],[Facility]])</f>
        <v>0</v>
      </c>
      <c r="B125" s="4" t="s">
        <v>4</v>
      </c>
      <c r="C125" s="5" t="s">
        <v>254</v>
      </c>
      <c r="D125" s="5" t="s">
        <v>63</v>
      </c>
      <c r="E125" s="5" t="s">
        <v>13</v>
      </c>
      <c r="F125" s="4">
        <v>8</v>
      </c>
      <c r="G125" s="4" t="s">
        <v>188</v>
      </c>
      <c r="H125" s="4" t="s">
        <v>188</v>
      </c>
      <c r="I125" s="4"/>
      <c r="J125" s="4">
        <f>IF(MaxData[[#This Row],[Max COVID Status]]="Non",1,IF(MaxData[[#This Row],[Max COVID Status]]="Crisis",2,0))</f>
        <v>0</v>
      </c>
    </row>
    <row r="126" spans="1:10" hidden="1" x14ac:dyDescent="0.35">
      <c r="A126" s="4">
        <f>_xlfn.AGGREGATE(3,5,MaxData[[#This Row],[Facility]])</f>
        <v>0</v>
      </c>
      <c r="B126" s="4" t="s">
        <v>4</v>
      </c>
      <c r="C126" s="5" t="s">
        <v>251</v>
      </c>
      <c r="D126" s="5" t="s">
        <v>14</v>
      </c>
      <c r="E126" s="5" t="s">
        <v>13</v>
      </c>
      <c r="F126" s="4">
        <v>24</v>
      </c>
      <c r="G126" s="4" t="s">
        <v>188</v>
      </c>
      <c r="H126" s="4" t="s">
        <v>188</v>
      </c>
      <c r="I126" s="4"/>
      <c r="J126" s="4">
        <f>IF(MaxData[[#This Row],[Max COVID Status]]="Non",1,IF(MaxData[[#This Row],[Max COVID Status]]="Crisis",2,0))</f>
        <v>0</v>
      </c>
    </row>
    <row r="127" spans="1:10" hidden="1" x14ac:dyDescent="0.35">
      <c r="A127" s="4">
        <f>_xlfn.AGGREGATE(3,5,MaxData[[#This Row],[Facility]])</f>
        <v>0</v>
      </c>
      <c r="B127" s="4" t="s">
        <v>4</v>
      </c>
      <c r="C127" s="5" t="s">
        <v>252</v>
      </c>
      <c r="D127" s="5" t="s">
        <v>14</v>
      </c>
      <c r="E127" s="5" t="s">
        <v>13</v>
      </c>
      <c r="F127" s="4">
        <v>14</v>
      </c>
      <c r="G127" s="4" t="s">
        <v>23</v>
      </c>
      <c r="H127" s="4" t="s">
        <v>245</v>
      </c>
      <c r="I127" s="4"/>
      <c r="J127" s="4">
        <f>IF(MaxData[[#This Row],[Max COVID Status]]="Non",1,IF(MaxData[[#This Row],[Max COVID Status]]="Crisis",2,0))</f>
        <v>2</v>
      </c>
    </row>
    <row r="128" spans="1:10" hidden="1" x14ac:dyDescent="0.35">
      <c r="A128" s="4">
        <f>_xlfn.AGGREGATE(3,5,MaxData[[#This Row],[Facility]])</f>
        <v>0</v>
      </c>
      <c r="B128" s="4" t="s">
        <v>4</v>
      </c>
      <c r="C128" s="5" t="s">
        <v>251</v>
      </c>
      <c r="D128" s="5" t="s">
        <v>15</v>
      </c>
      <c r="E128" s="5" t="s">
        <v>13</v>
      </c>
      <c r="F128" s="4">
        <v>2</v>
      </c>
      <c r="G128" s="4" t="s">
        <v>23</v>
      </c>
      <c r="H128" s="4" t="s">
        <v>245</v>
      </c>
      <c r="I128" s="4"/>
      <c r="J128" s="4">
        <f>IF(MaxData[[#This Row],[Max COVID Status]]="Non",1,IF(MaxData[[#This Row],[Max COVID Status]]="Crisis",2,0))</f>
        <v>2</v>
      </c>
    </row>
    <row r="129" spans="1:10" hidden="1" x14ac:dyDescent="0.35">
      <c r="A129" s="4">
        <f>_xlfn.AGGREGATE(3,5,MaxData[[#This Row],[Facility]])</f>
        <v>0</v>
      </c>
      <c r="B129" s="4" t="s">
        <v>4</v>
      </c>
      <c r="C129" s="5" t="s">
        <v>252</v>
      </c>
      <c r="D129" s="5" t="s">
        <v>15</v>
      </c>
      <c r="E129" s="5" t="s">
        <v>13</v>
      </c>
      <c r="F129" s="4">
        <v>2</v>
      </c>
      <c r="G129" s="4" t="s">
        <v>188</v>
      </c>
      <c r="H129" s="4" t="s">
        <v>188</v>
      </c>
      <c r="I129" s="4"/>
      <c r="J129" s="4">
        <f>IF(MaxData[[#This Row],[Max COVID Status]]="Non",1,IF(MaxData[[#This Row],[Max COVID Status]]="Crisis",2,0))</f>
        <v>0</v>
      </c>
    </row>
    <row r="130" spans="1:10" hidden="1" x14ac:dyDescent="0.35">
      <c r="A130" s="4">
        <f>_xlfn.AGGREGATE(3,5,MaxData[[#This Row],[Facility]])</f>
        <v>0</v>
      </c>
      <c r="B130" s="4" t="s">
        <v>4</v>
      </c>
      <c r="C130" s="5" t="s">
        <v>257</v>
      </c>
      <c r="D130" s="5" t="s">
        <v>63</v>
      </c>
      <c r="E130" s="5" t="s">
        <v>13</v>
      </c>
      <c r="F130" s="4">
        <v>16</v>
      </c>
      <c r="G130" s="4" t="s">
        <v>188</v>
      </c>
      <c r="H130" s="4" t="s">
        <v>188</v>
      </c>
      <c r="I130" s="4"/>
      <c r="J130" s="4">
        <f>IF(MaxData[[#This Row],[Max COVID Status]]="Non",1,IF(MaxData[[#This Row],[Max COVID Status]]="Crisis",2,0))</f>
        <v>0</v>
      </c>
    </row>
    <row r="131" spans="1:10" hidden="1" x14ac:dyDescent="0.35">
      <c r="A131" s="4">
        <f>_xlfn.AGGREGATE(3,5,MaxData[[#This Row],[Facility]])</f>
        <v>0</v>
      </c>
      <c r="B131" s="4" t="s">
        <v>4</v>
      </c>
      <c r="C131" s="5" t="s">
        <v>258</v>
      </c>
      <c r="D131" s="5" t="s">
        <v>63</v>
      </c>
      <c r="E131" s="5" t="s">
        <v>13</v>
      </c>
      <c r="F131" s="4">
        <v>4</v>
      </c>
      <c r="G131" s="4" t="s">
        <v>188</v>
      </c>
      <c r="H131" s="4" t="s">
        <v>188</v>
      </c>
      <c r="I131" s="4"/>
      <c r="J131" s="4">
        <f>IF(MaxData[[#This Row],[Max COVID Status]]="Non",1,IF(MaxData[[#This Row],[Max COVID Status]]="Crisis",2,0))</f>
        <v>0</v>
      </c>
    </row>
    <row r="132" spans="1:10" hidden="1" x14ac:dyDescent="0.35">
      <c r="A132" s="4">
        <f>_xlfn.AGGREGATE(3,5,MaxData[[#This Row],[Facility]])</f>
        <v>0</v>
      </c>
      <c r="B132" s="4" t="s">
        <v>4</v>
      </c>
      <c r="C132" s="5" t="s">
        <v>255</v>
      </c>
      <c r="D132" s="5" t="s">
        <v>14</v>
      </c>
      <c r="E132" s="5" t="s">
        <v>13</v>
      </c>
      <c r="F132" s="4">
        <v>11</v>
      </c>
      <c r="G132" s="4" t="s">
        <v>23</v>
      </c>
      <c r="H132" s="4" t="s">
        <v>245</v>
      </c>
      <c r="I132" s="4"/>
      <c r="J132" s="4">
        <f>IF(MaxData[[#This Row],[Max COVID Status]]="Non",1,IF(MaxData[[#This Row],[Max COVID Status]]="Crisis",2,0))</f>
        <v>2</v>
      </c>
    </row>
    <row r="133" spans="1:10" hidden="1" x14ac:dyDescent="0.35">
      <c r="A133" s="4">
        <f>_xlfn.AGGREGATE(3,5,MaxData[[#This Row],[Facility]])</f>
        <v>0</v>
      </c>
      <c r="B133" s="4" t="s">
        <v>4</v>
      </c>
      <c r="C133" s="5" t="s">
        <v>256</v>
      </c>
      <c r="D133" s="5" t="s">
        <v>14</v>
      </c>
      <c r="E133" s="5" t="s">
        <v>13</v>
      </c>
      <c r="F133" s="4">
        <v>14</v>
      </c>
      <c r="G133" s="4" t="s">
        <v>23</v>
      </c>
      <c r="H133" s="4" t="s">
        <v>245</v>
      </c>
      <c r="I133" s="4"/>
      <c r="J133" s="4">
        <f>IF(MaxData[[#This Row],[Max COVID Status]]="Non",1,IF(MaxData[[#This Row],[Max COVID Status]]="Crisis",2,0))</f>
        <v>2</v>
      </c>
    </row>
    <row r="134" spans="1:10" hidden="1" x14ac:dyDescent="0.35">
      <c r="A134" s="4">
        <f>_xlfn.AGGREGATE(3,5,MaxData[[#This Row],[Facility]])</f>
        <v>0</v>
      </c>
      <c r="B134" s="4" t="s">
        <v>4</v>
      </c>
      <c r="C134" s="5" t="s">
        <v>255</v>
      </c>
      <c r="D134" s="5" t="s">
        <v>15</v>
      </c>
      <c r="E134" s="5" t="s">
        <v>13</v>
      </c>
      <c r="F134" s="4">
        <v>4</v>
      </c>
      <c r="G134" s="4" t="s">
        <v>23</v>
      </c>
      <c r="H134" s="4" t="s">
        <v>245</v>
      </c>
      <c r="I134" s="4"/>
      <c r="J134" s="4">
        <f>IF(MaxData[[#This Row],[Max COVID Status]]="Non",1,IF(MaxData[[#This Row],[Max COVID Status]]="Crisis",2,0))</f>
        <v>2</v>
      </c>
    </row>
    <row r="135" spans="1:10" hidden="1" x14ac:dyDescent="0.35">
      <c r="A135" s="4">
        <f>_xlfn.AGGREGATE(3,5,MaxData[[#This Row],[Facility]])</f>
        <v>0</v>
      </c>
      <c r="B135" s="4" t="s">
        <v>4</v>
      </c>
      <c r="C135" s="5" t="s">
        <v>256</v>
      </c>
      <c r="D135" s="5" t="s">
        <v>15</v>
      </c>
      <c r="E135" s="5" t="s">
        <v>13</v>
      </c>
      <c r="F135" s="4">
        <v>2</v>
      </c>
      <c r="G135" s="4" t="s">
        <v>23</v>
      </c>
      <c r="H135" s="4" t="s">
        <v>245</v>
      </c>
      <c r="I135" s="4"/>
      <c r="J135" s="4">
        <f>IF(MaxData[[#This Row],[Max COVID Status]]="Non",1,IF(MaxData[[#This Row],[Max COVID Status]]="Crisis",2,0))</f>
        <v>2</v>
      </c>
    </row>
    <row r="136" spans="1:10" hidden="1" x14ac:dyDescent="0.35">
      <c r="A136" s="4">
        <f>_xlfn.AGGREGATE(3,5,MaxData[[#This Row],[Facility]])</f>
        <v>0</v>
      </c>
      <c r="B136" s="4" t="s">
        <v>4</v>
      </c>
      <c r="C136" s="5" t="s">
        <v>64</v>
      </c>
      <c r="D136" s="5" t="s">
        <v>63</v>
      </c>
      <c r="E136" s="5" t="s">
        <v>13</v>
      </c>
      <c r="F136" s="4">
        <v>10</v>
      </c>
      <c r="G136" s="4" t="s">
        <v>188</v>
      </c>
      <c r="H136" s="4" t="s">
        <v>189</v>
      </c>
      <c r="I136" s="4"/>
      <c r="J136" s="4">
        <f>IF(MaxData[[#This Row],[Max COVID Status]]="Non",1,IF(MaxData[[#This Row],[Max COVID Status]]="Crisis",2,0))</f>
        <v>1</v>
      </c>
    </row>
    <row r="137" spans="1:10" hidden="1" x14ac:dyDescent="0.35">
      <c r="A137" s="4">
        <f>_xlfn.AGGREGATE(3,5,MaxData[[#This Row],[Facility]])</f>
        <v>0</v>
      </c>
      <c r="B137" s="4" t="s">
        <v>4</v>
      </c>
      <c r="C137" s="5" t="s">
        <v>249</v>
      </c>
      <c r="D137" s="5" t="s">
        <v>14</v>
      </c>
      <c r="E137" s="5" t="s">
        <v>13</v>
      </c>
      <c r="F137" s="4">
        <v>14</v>
      </c>
      <c r="G137" s="4" t="s">
        <v>23</v>
      </c>
      <c r="H137" s="4" t="s">
        <v>187</v>
      </c>
      <c r="I137" s="4"/>
      <c r="J137" s="4">
        <f>IF(MaxData[[#This Row],[Max COVID Status]]="Non",1,IF(MaxData[[#This Row],[Max COVID Status]]="Crisis",2,0))</f>
        <v>0</v>
      </c>
    </row>
    <row r="138" spans="1:10" hidden="1" x14ac:dyDescent="0.35">
      <c r="A138" s="4">
        <f>_xlfn.AGGREGATE(3,5,MaxData[[#This Row],[Facility]])</f>
        <v>0</v>
      </c>
      <c r="B138" s="4" t="s">
        <v>4</v>
      </c>
      <c r="C138" s="5" t="s">
        <v>250</v>
      </c>
      <c r="D138" s="5" t="s">
        <v>14</v>
      </c>
      <c r="E138" s="5" t="s">
        <v>13</v>
      </c>
      <c r="F138" s="4">
        <v>14</v>
      </c>
      <c r="G138" s="4" t="s">
        <v>188</v>
      </c>
      <c r="H138" s="4" t="s">
        <v>188</v>
      </c>
      <c r="I138" s="4"/>
      <c r="J138" s="4">
        <f>IF(MaxData[[#This Row],[Max COVID Status]]="Non",1,IF(MaxData[[#This Row],[Max COVID Status]]="Crisis",2,0))</f>
        <v>0</v>
      </c>
    </row>
    <row r="139" spans="1:10" hidden="1" x14ac:dyDescent="0.35">
      <c r="A139" s="4">
        <f>_xlfn.AGGREGATE(3,5,MaxData[[#This Row],[Facility]])</f>
        <v>0</v>
      </c>
      <c r="B139" s="4" t="s">
        <v>4</v>
      </c>
      <c r="C139" s="5" t="s">
        <v>249</v>
      </c>
      <c r="D139" s="5" t="s">
        <v>15</v>
      </c>
      <c r="E139" s="5" t="s">
        <v>13</v>
      </c>
      <c r="F139" s="4">
        <v>2</v>
      </c>
      <c r="G139" s="4" t="s">
        <v>23</v>
      </c>
      <c r="H139" s="4" t="s">
        <v>187</v>
      </c>
      <c r="I139" s="4"/>
      <c r="J139" s="4">
        <f>IF(MaxData[[#This Row],[Max COVID Status]]="Non",1,IF(MaxData[[#This Row],[Max COVID Status]]="Crisis",2,0))</f>
        <v>0</v>
      </c>
    </row>
    <row r="140" spans="1:10" hidden="1" x14ac:dyDescent="0.35">
      <c r="A140" s="4">
        <f>_xlfn.AGGREGATE(3,5,MaxData[[#This Row],[Facility]])</f>
        <v>0</v>
      </c>
      <c r="B140" s="4" t="s">
        <v>4</v>
      </c>
      <c r="C140" s="5" t="s">
        <v>250</v>
      </c>
      <c r="D140" s="5" t="s">
        <v>15</v>
      </c>
      <c r="E140" s="5" t="s">
        <v>13</v>
      </c>
      <c r="F140" s="4">
        <v>2</v>
      </c>
      <c r="G140" s="4" t="s">
        <v>188</v>
      </c>
      <c r="H140" s="4" t="s">
        <v>188</v>
      </c>
      <c r="I140" s="4"/>
      <c r="J140" s="4">
        <f>IF(MaxData[[#This Row],[Max COVID Status]]="Non",1,IF(MaxData[[#This Row],[Max COVID Status]]="Crisis",2,0))</f>
        <v>0</v>
      </c>
    </row>
    <row r="141" spans="1:10" hidden="1" x14ac:dyDescent="0.35">
      <c r="A141" s="4">
        <f>_xlfn.AGGREGATE(3,5,MaxData[[#This Row],[Facility]])</f>
        <v>0</v>
      </c>
      <c r="B141" s="4" t="s">
        <v>88</v>
      </c>
      <c r="C141" s="5" t="s">
        <v>89</v>
      </c>
      <c r="D141" s="5" t="s">
        <v>7</v>
      </c>
      <c r="E141" s="5" t="s">
        <v>19</v>
      </c>
      <c r="F141" s="4">
        <v>34</v>
      </c>
      <c r="G141" s="4" t="s">
        <v>19</v>
      </c>
      <c r="H141" s="4" t="s">
        <v>187</v>
      </c>
      <c r="I141" s="4">
        <v>-6</v>
      </c>
      <c r="J141" s="4">
        <f>IF(MaxData[[#This Row],[Max COVID Status]]="Non",1,IF(MaxData[[#This Row],[Max COVID Status]]="Crisis",2,0))</f>
        <v>0</v>
      </c>
    </row>
    <row r="142" spans="1:10" hidden="1" x14ac:dyDescent="0.35">
      <c r="A142" s="4">
        <f>_xlfn.AGGREGATE(3,5,MaxData[[#This Row],[Facility]])</f>
        <v>0</v>
      </c>
      <c r="B142" s="4" t="s">
        <v>88</v>
      </c>
      <c r="C142" s="5" t="s">
        <v>89</v>
      </c>
      <c r="D142" s="5" t="s">
        <v>10</v>
      </c>
      <c r="E142" s="5" t="s">
        <v>19</v>
      </c>
      <c r="F142" s="4">
        <v>2</v>
      </c>
      <c r="G142" s="4" t="s">
        <v>19</v>
      </c>
      <c r="H142" s="4" t="s">
        <v>187</v>
      </c>
      <c r="I142" s="4"/>
      <c r="J142" s="4">
        <f>IF(MaxData[[#This Row],[Max COVID Status]]="Non",1,IF(MaxData[[#This Row],[Max COVID Status]]="Crisis",2,0))</f>
        <v>0</v>
      </c>
    </row>
    <row r="143" spans="1:10" hidden="1" x14ac:dyDescent="0.35">
      <c r="A143" s="4">
        <f>_xlfn.AGGREGATE(3,5,MaxData[[#This Row],[Facility]])</f>
        <v>0</v>
      </c>
      <c r="B143" s="4" t="s">
        <v>88</v>
      </c>
      <c r="C143" s="5" t="s">
        <v>89</v>
      </c>
      <c r="D143" s="5" t="s">
        <v>24</v>
      </c>
      <c r="E143" s="5" t="s">
        <v>19</v>
      </c>
      <c r="F143" s="4">
        <v>14</v>
      </c>
      <c r="G143" s="4" t="s">
        <v>188</v>
      </c>
      <c r="H143" s="4" t="s">
        <v>188</v>
      </c>
      <c r="I143" s="4"/>
      <c r="J143" s="4">
        <f>IF(MaxData[[#This Row],[Max COVID Status]]="Non",1,IF(MaxData[[#This Row],[Max COVID Status]]="Crisis",2,0))</f>
        <v>0</v>
      </c>
    </row>
    <row r="144" spans="1:10" hidden="1" x14ac:dyDescent="0.35">
      <c r="A144" s="4">
        <f>_xlfn.AGGREGATE(3,5,MaxData[[#This Row],[Facility]])</f>
        <v>0</v>
      </c>
      <c r="B144" s="4" t="s">
        <v>88</v>
      </c>
      <c r="C144" s="5" t="s">
        <v>90</v>
      </c>
      <c r="D144" s="5" t="s">
        <v>7</v>
      </c>
      <c r="E144" s="5" t="s">
        <v>19</v>
      </c>
      <c r="F144" s="4">
        <v>34</v>
      </c>
      <c r="G144" s="4" t="s">
        <v>19</v>
      </c>
      <c r="H144" s="4" t="s">
        <v>189</v>
      </c>
      <c r="I144" s="4"/>
      <c r="J144" s="4">
        <f>IF(MaxData[[#This Row],[Max COVID Status]]="Non",1,IF(MaxData[[#This Row],[Max COVID Status]]="Crisis",2,0))</f>
        <v>1</v>
      </c>
    </row>
    <row r="145" spans="1:10" hidden="1" x14ac:dyDescent="0.35">
      <c r="A145" s="4">
        <f>_xlfn.AGGREGATE(3,5,MaxData[[#This Row],[Facility]])</f>
        <v>0</v>
      </c>
      <c r="B145" s="4" t="s">
        <v>88</v>
      </c>
      <c r="C145" s="5" t="s">
        <v>90</v>
      </c>
      <c r="D145" s="5" t="s">
        <v>10</v>
      </c>
      <c r="E145" s="5" t="s">
        <v>19</v>
      </c>
      <c r="F145" s="4">
        <v>2</v>
      </c>
      <c r="G145" s="4" t="s">
        <v>19</v>
      </c>
      <c r="H145" s="4" t="s">
        <v>189</v>
      </c>
      <c r="I145" s="4"/>
      <c r="J145" s="4">
        <f>IF(MaxData[[#This Row],[Max COVID Status]]="Non",1,IF(MaxData[[#This Row],[Max COVID Status]]="Crisis",2,0))</f>
        <v>1</v>
      </c>
    </row>
    <row r="146" spans="1:10" hidden="1" x14ac:dyDescent="0.35">
      <c r="A146" s="4">
        <f>_xlfn.AGGREGATE(3,5,MaxData[[#This Row],[Facility]])</f>
        <v>0</v>
      </c>
      <c r="B146" s="4" t="s">
        <v>88</v>
      </c>
      <c r="C146" s="5" t="s">
        <v>91</v>
      </c>
      <c r="D146" s="5" t="s">
        <v>7</v>
      </c>
      <c r="E146" s="5" t="s">
        <v>19</v>
      </c>
      <c r="F146" s="4">
        <v>35</v>
      </c>
      <c r="G146" s="4" t="s">
        <v>19</v>
      </c>
      <c r="H146" s="4" t="s">
        <v>189</v>
      </c>
      <c r="I146" s="4"/>
      <c r="J146" s="4">
        <f>IF(MaxData[[#This Row],[Max COVID Status]]="Non",1,IF(MaxData[[#This Row],[Max COVID Status]]="Crisis",2,0))</f>
        <v>1</v>
      </c>
    </row>
    <row r="147" spans="1:10" hidden="1" x14ac:dyDescent="0.35">
      <c r="A147" s="4">
        <f>_xlfn.AGGREGATE(3,5,MaxData[[#This Row],[Facility]])</f>
        <v>0</v>
      </c>
      <c r="B147" s="4" t="s">
        <v>88</v>
      </c>
      <c r="C147" s="5" t="s">
        <v>91</v>
      </c>
      <c r="D147" s="5" t="s">
        <v>10</v>
      </c>
      <c r="E147" s="5" t="s">
        <v>19</v>
      </c>
      <c r="F147" s="4">
        <v>3</v>
      </c>
      <c r="G147" s="4" t="s">
        <v>19</v>
      </c>
      <c r="H147" s="4" t="s">
        <v>189</v>
      </c>
      <c r="I147" s="4"/>
      <c r="J147" s="4">
        <f>IF(MaxData[[#This Row],[Max COVID Status]]="Non",1,IF(MaxData[[#This Row],[Max COVID Status]]="Crisis",2,0))</f>
        <v>1</v>
      </c>
    </row>
    <row r="148" spans="1:10" hidden="1" x14ac:dyDescent="0.35">
      <c r="A148" s="4">
        <f>_xlfn.AGGREGATE(3,5,MaxData[[#This Row],[Facility]])</f>
        <v>0</v>
      </c>
      <c r="B148" s="4" t="s">
        <v>88</v>
      </c>
      <c r="C148" s="5" t="s">
        <v>92</v>
      </c>
      <c r="D148" s="5" t="s">
        <v>7</v>
      </c>
      <c r="E148" s="5" t="s">
        <v>19</v>
      </c>
      <c r="F148" s="4">
        <v>36</v>
      </c>
      <c r="G148" s="4" t="s">
        <v>19</v>
      </c>
      <c r="H148" s="4" t="s">
        <v>189</v>
      </c>
      <c r="I148" s="4"/>
      <c r="J148" s="4">
        <f>IF(MaxData[[#This Row],[Max COVID Status]]="Non",1,IF(MaxData[[#This Row],[Max COVID Status]]="Crisis",2,0))</f>
        <v>1</v>
      </c>
    </row>
    <row r="149" spans="1:10" hidden="1" x14ac:dyDescent="0.35">
      <c r="A149" s="4">
        <f>_xlfn.AGGREGATE(3,5,MaxData[[#This Row],[Facility]])</f>
        <v>0</v>
      </c>
      <c r="B149" s="4" t="s">
        <v>88</v>
      </c>
      <c r="C149" s="5" t="s">
        <v>92</v>
      </c>
      <c r="D149" s="5" t="s">
        <v>10</v>
      </c>
      <c r="E149" s="5" t="s">
        <v>19</v>
      </c>
      <c r="F149" s="4">
        <v>2</v>
      </c>
      <c r="G149" s="4" t="s">
        <v>19</v>
      </c>
      <c r="H149" s="4" t="s">
        <v>189</v>
      </c>
      <c r="I149" s="4"/>
      <c r="J149" s="4">
        <f>IF(MaxData[[#This Row],[Max COVID Status]]="Non",1,IF(MaxData[[#This Row],[Max COVID Status]]="Crisis",2,0))</f>
        <v>1</v>
      </c>
    </row>
    <row r="150" spans="1:10" hidden="1" x14ac:dyDescent="0.35">
      <c r="A150" s="4">
        <f>_xlfn.AGGREGATE(3,5,MaxData[[#This Row],[Facility]])</f>
        <v>0</v>
      </c>
      <c r="B150" s="4" t="s">
        <v>88</v>
      </c>
      <c r="C150" s="5" t="s">
        <v>93</v>
      </c>
      <c r="D150" s="5" t="s">
        <v>7</v>
      </c>
      <c r="E150" s="5" t="s">
        <v>19</v>
      </c>
      <c r="F150" s="4">
        <v>10</v>
      </c>
      <c r="G150" s="4" t="s">
        <v>23</v>
      </c>
      <c r="H150" s="4" t="s">
        <v>187</v>
      </c>
      <c r="I150" s="4"/>
      <c r="J150" s="4">
        <f>IF(MaxData[[#This Row],[Max COVID Status]]="Non",1,IF(MaxData[[#This Row],[Max COVID Status]]="Crisis",2,0))</f>
        <v>0</v>
      </c>
    </row>
    <row r="151" spans="1:10" hidden="1" x14ac:dyDescent="0.35">
      <c r="A151" s="4">
        <f>_xlfn.AGGREGATE(3,5,MaxData[[#This Row],[Facility]])</f>
        <v>0</v>
      </c>
      <c r="B151" s="4" t="s">
        <v>88</v>
      </c>
      <c r="C151" s="5" t="s">
        <v>94</v>
      </c>
      <c r="D151" s="5" t="s">
        <v>7</v>
      </c>
      <c r="E151" s="5" t="s">
        <v>19</v>
      </c>
      <c r="F151" s="4">
        <v>10</v>
      </c>
      <c r="G151" s="4" t="s">
        <v>19</v>
      </c>
      <c r="H151" s="4" t="s">
        <v>189</v>
      </c>
      <c r="I151" s="4"/>
      <c r="J151" s="4">
        <f>IF(MaxData[[#This Row],[Max COVID Status]]="Non",1,IF(MaxData[[#This Row],[Max COVID Status]]="Crisis",2,0))</f>
        <v>1</v>
      </c>
    </row>
    <row r="152" spans="1:10" hidden="1" x14ac:dyDescent="0.35">
      <c r="A152" s="4">
        <f>_xlfn.AGGREGATE(3,5,MaxData[[#This Row],[Facility]])</f>
        <v>0</v>
      </c>
      <c r="B152" s="4" t="s">
        <v>88</v>
      </c>
      <c r="C152" s="5" t="s">
        <v>94</v>
      </c>
      <c r="D152" s="5" t="s">
        <v>7</v>
      </c>
      <c r="E152" s="5" t="s">
        <v>23</v>
      </c>
      <c r="F152" s="4">
        <v>10</v>
      </c>
      <c r="G152" s="4" t="s">
        <v>23</v>
      </c>
      <c r="H152" s="4" t="s">
        <v>189</v>
      </c>
      <c r="I152" s="4"/>
      <c r="J152" s="4">
        <f>IF(MaxData[[#This Row],[Max COVID Status]]="Non",1,IF(MaxData[[#This Row],[Max COVID Status]]="Crisis",2,0))</f>
        <v>1</v>
      </c>
    </row>
    <row r="153" spans="1:10" hidden="1" x14ac:dyDescent="0.35">
      <c r="A153" s="4">
        <f>_xlfn.AGGREGATE(3,5,MaxData[[#This Row],[Facility]])</f>
        <v>0</v>
      </c>
      <c r="B153" s="4" t="s">
        <v>88</v>
      </c>
      <c r="C153" s="5" t="s">
        <v>95</v>
      </c>
      <c r="D153" s="5" t="s">
        <v>7</v>
      </c>
      <c r="E153" s="5" t="s">
        <v>23</v>
      </c>
      <c r="F153" s="4">
        <v>8</v>
      </c>
      <c r="G153" s="4" t="s">
        <v>23</v>
      </c>
      <c r="H153" s="4" t="s">
        <v>189</v>
      </c>
      <c r="I153" s="4"/>
      <c r="J153" s="4">
        <f>IF(MaxData[[#This Row],[Max COVID Status]]="Non",1,IF(MaxData[[#This Row],[Max COVID Status]]="Crisis",2,0))</f>
        <v>1</v>
      </c>
    </row>
    <row r="154" spans="1:10" hidden="1" x14ac:dyDescent="0.35">
      <c r="A154" s="4">
        <f>_xlfn.AGGREGATE(3,5,MaxData[[#This Row],[Facility]])</f>
        <v>0</v>
      </c>
      <c r="B154" s="4" t="s">
        <v>88</v>
      </c>
      <c r="C154" s="5" t="s">
        <v>96</v>
      </c>
      <c r="D154" s="5" t="s">
        <v>7</v>
      </c>
      <c r="E154" s="5" t="s">
        <v>19</v>
      </c>
      <c r="F154" s="4">
        <v>22</v>
      </c>
      <c r="G154" s="4" t="s">
        <v>19</v>
      </c>
      <c r="H154" s="4" t="s">
        <v>189</v>
      </c>
      <c r="I154" s="4"/>
      <c r="J154" s="4">
        <f>IF(MaxData[[#This Row],[Max COVID Status]]="Non",1,IF(MaxData[[#This Row],[Max COVID Status]]="Crisis",2,0))</f>
        <v>1</v>
      </c>
    </row>
    <row r="155" spans="1:10" hidden="1" x14ac:dyDescent="0.35">
      <c r="A155" s="4">
        <f>_xlfn.AGGREGATE(3,5,MaxData[[#This Row],[Facility]])</f>
        <v>0</v>
      </c>
      <c r="B155" s="4" t="s">
        <v>88</v>
      </c>
      <c r="C155" s="5" t="s">
        <v>96</v>
      </c>
      <c r="D155" s="5" t="s">
        <v>10</v>
      </c>
      <c r="E155" s="5" t="s">
        <v>19</v>
      </c>
      <c r="F155" s="4">
        <v>1</v>
      </c>
      <c r="G155" s="4" t="s">
        <v>19</v>
      </c>
      <c r="H155" s="4" t="s">
        <v>189</v>
      </c>
      <c r="I155" s="4"/>
      <c r="J155" s="4">
        <f>IF(MaxData[[#This Row],[Max COVID Status]]="Non",1,IF(MaxData[[#This Row],[Max COVID Status]]="Crisis",2,0))</f>
        <v>1</v>
      </c>
    </row>
    <row r="156" spans="1:10" hidden="1" x14ac:dyDescent="0.35">
      <c r="A156" s="4">
        <f>_xlfn.AGGREGATE(3,5,MaxData[[#This Row],[Facility]])</f>
        <v>0</v>
      </c>
      <c r="B156" s="4" t="s">
        <v>88</v>
      </c>
      <c r="C156" s="5" t="s">
        <v>97</v>
      </c>
      <c r="D156" s="5" t="s">
        <v>7</v>
      </c>
      <c r="E156" s="5" t="s">
        <v>19</v>
      </c>
      <c r="F156" s="4">
        <v>2</v>
      </c>
      <c r="G156" s="4" t="s">
        <v>19</v>
      </c>
      <c r="H156" s="4" t="s">
        <v>189</v>
      </c>
      <c r="I156" s="4"/>
      <c r="J156" s="4">
        <f>IF(MaxData[[#This Row],[Max COVID Status]]="Non",1,IF(MaxData[[#This Row],[Max COVID Status]]="Crisis",2,0))</f>
        <v>1</v>
      </c>
    </row>
    <row r="157" spans="1:10" hidden="1" x14ac:dyDescent="0.35">
      <c r="A157" s="4">
        <f>_xlfn.AGGREGATE(3,5,MaxData[[#This Row],[Facility]])</f>
        <v>0</v>
      </c>
      <c r="B157" s="4" t="s">
        <v>88</v>
      </c>
      <c r="C157" s="5" t="s">
        <v>98</v>
      </c>
      <c r="D157" s="5" t="s">
        <v>7</v>
      </c>
      <c r="E157" s="5" t="s">
        <v>19</v>
      </c>
      <c r="F157" s="4">
        <v>22</v>
      </c>
      <c r="G157" s="4" t="s">
        <v>19</v>
      </c>
      <c r="H157" s="4" t="s">
        <v>189</v>
      </c>
      <c r="I157" s="4"/>
      <c r="J157" s="4">
        <f>IF(MaxData[[#This Row],[Max COVID Status]]="Non",1,IF(MaxData[[#This Row],[Max COVID Status]]="Crisis",2,0))</f>
        <v>1</v>
      </c>
    </row>
    <row r="158" spans="1:10" hidden="1" x14ac:dyDescent="0.35">
      <c r="A158" s="4">
        <f>_xlfn.AGGREGATE(3,5,MaxData[[#This Row],[Facility]])</f>
        <v>0</v>
      </c>
      <c r="B158" s="4" t="s">
        <v>88</v>
      </c>
      <c r="C158" s="5" t="s">
        <v>99</v>
      </c>
      <c r="D158" s="5" t="s">
        <v>7</v>
      </c>
      <c r="E158" s="5" t="s">
        <v>23</v>
      </c>
      <c r="F158" s="4">
        <v>10</v>
      </c>
      <c r="G158" s="4" t="s">
        <v>23</v>
      </c>
      <c r="H158" s="4" t="s">
        <v>189</v>
      </c>
      <c r="I158" s="4"/>
      <c r="J158" s="4">
        <f>IF(MaxData[[#This Row],[Max COVID Status]]="Non",1,IF(MaxData[[#This Row],[Max COVID Status]]="Crisis",2,0))</f>
        <v>1</v>
      </c>
    </row>
    <row r="159" spans="1:10" hidden="1" x14ac:dyDescent="0.35">
      <c r="A159" s="4">
        <f>_xlfn.AGGREGATE(3,5,MaxData[[#This Row],[Facility]])</f>
        <v>0</v>
      </c>
      <c r="B159" s="4" t="s">
        <v>88</v>
      </c>
      <c r="C159" s="5" t="s">
        <v>100</v>
      </c>
      <c r="D159" s="5" t="s">
        <v>7</v>
      </c>
      <c r="E159" s="5" t="s">
        <v>23</v>
      </c>
      <c r="F159" s="4">
        <v>8</v>
      </c>
      <c r="G159" s="4" t="s">
        <v>23</v>
      </c>
      <c r="H159" s="4" t="s">
        <v>187</v>
      </c>
      <c r="I159" s="4"/>
      <c r="J159" s="4">
        <f>IF(MaxData[[#This Row],[Max COVID Status]]="Non",1,IF(MaxData[[#This Row],[Max COVID Status]]="Crisis",2,0))</f>
        <v>0</v>
      </c>
    </row>
    <row r="160" spans="1:10" hidden="1" x14ac:dyDescent="0.35">
      <c r="A160" s="4">
        <f>_xlfn.AGGREGATE(3,5,MaxData[[#This Row],[Facility]])</f>
        <v>0</v>
      </c>
      <c r="B160" s="4" t="s">
        <v>88</v>
      </c>
      <c r="C160" s="5" t="s">
        <v>100</v>
      </c>
      <c r="D160" s="5" t="s">
        <v>7</v>
      </c>
      <c r="E160" s="5" t="s">
        <v>23</v>
      </c>
      <c r="F160" s="4">
        <v>2</v>
      </c>
      <c r="G160" s="4" t="s">
        <v>23</v>
      </c>
      <c r="H160" s="4" t="s">
        <v>187</v>
      </c>
      <c r="I160" s="4"/>
      <c r="J160" s="4">
        <f>IF(MaxData[[#This Row],[Max COVID Status]]="Non",1,IF(MaxData[[#This Row],[Max COVID Status]]="Crisis",2,0))</f>
        <v>0</v>
      </c>
    </row>
    <row r="161" spans="1:10" hidden="1" x14ac:dyDescent="0.35">
      <c r="A161" s="4">
        <f>_xlfn.AGGREGATE(3,5,MaxData[[#This Row],[Facility]])</f>
        <v>0</v>
      </c>
      <c r="B161" s="4" t="s">
        <v>88</v>
      </c>
      <c r="C161" s="5" t="s">
        <v>100</v>
      </c>
      <c r="D161" s="5" t="s">
        <v>10</v>
      </c>
      <c r="E161" s="5" t="s">
        <v>23</v>
      </c>
      <c r="F161" s="4">
        <v>2</v>
      </c>
      <c r="G161" s="4" t="s">
        <v>23</v>
      </c>
      <c r="H161" s="4" t="s">
        <v>187</v>
      </c>
      <c r="I161" s="4"/>
      <c r="J161" s="4">
        <f>IF(MaxData[[#This Row],[Max COVID Status]]="Non",1,IF(MaxData[[#This Row],[Max COVID Status]]="Crisis",2,0))</f>
        <v>0</v>
      </c>
    </row>
    <row r="162" spans="1:10" hidden="1" x14ac:dyDescent="0.35">
      <c r="A162" s="4">
        <f>_xlfn.AGGREGATE(3,5,MaxData[[#This Row],[Facility]])</f>
        <v>0</v>
      </c>
      <c r="B162" s="4" t="s">
        <v>88</v>
      </c>
      <c r="C162" s="5" t="s">
        <v>101</v>
      </c>
      <c r="D162" s="5" t="s">
        <v>7</v>
      </c>
      <c r="E162" s="5" t="s">
        <v>23</v>
      </c>
      <c r="F162" s="4">
        <v>12</v>
      </c>
      <c r="G162" s="4" t="s">
        <v>23</v>
      </c>
      <c r="H162" s="4" t="s">
        <v>187</v>
      </c>
      <c r="I162" s="4"/>
      <c r="J162" s="4">
        <f>IF(MaxData[[#This Row],[Max COVID Status]]="Non",1,IF(MaxData[[#This Row],[Max COVID Status]]="Crisis",2,0))</f>
        <v>0</v>
      </c>
    </row>
    <row r="163" spans="1:10" hidden="1" x14ac:dyDescent="0.35">
      <c r="A163" s="4">
        <f>_xlfn.AGGREGATE(3,5,MaxData[[#This Row],[Facility]])</f>
        <v>0</v>
      </c>
      <c r="B163" s="4" t="s">
        <v>88</v>
      </c>
      <c r="C163" s="5" t="s">
        <v>102</v>
      </c>
      <c r="D163" s="5" t="s">
        <v>7</v>
      </c>
      <c r="E163" s="5" t="s">
        <v>19</v>
      </c>
      <c r="F163" s="4">
        <v>19</v>
      </c>
      <c r="G163" s="4" t="s">
        <v>19</v>
      </c>
      <c r="H163" s="4" t="s">
        <v>189</v>
      </c>
      <c r="I163" s="4"/>
      <c r="J163" s="4">
        <f>IF(MaxData[[#This Row],[Max COVID Status]]="Non",1,IF(MaxData[[#This Row],[Max COVID Status]]="Crisis",2,0))</f>
        <v>1</v>
      </c>
    </row>
    <row r="164" spans="1:10" hidden="1" x14ac:dyDescent="0.35">
      <c r="A164" s="4">
        <f>_xlfn.AGGREGATE(3,5,MaxData[[#This Row],[Facility]])</f>
        <v>0</v>
      </c>
      <c r="B164" s="4" t="s">
        <v>88</v>
      </c>
      <c r="C164" s="5" t="s">
        <v>102</v>
      </c>
      <c r="D164" s="5" t="s">
        <v>10</v>
      </c>
      <c r="E164" s="5" t="s">
        <v>19</v>
      </c>
      <c r="F164" s="4">
        <v>3</v>
      </c>
      <c r="G164" s="4" t="s">
        <v>19</v>
      </c>
      <c r="H164" s="4" t="s">
        <v>189</v>
      </c>
      <c r="I164" s="4"/>
      <c r="J164" s="4">
        <f>IF(MaxData[[#This Row],[Max COVID Status]]="Non",1,IF(MaxData[[#This Row],[Max COVID Status]]="Crisis",2,0))</f>
        <v>1</v>
      </c>
    </row>
    <row r="165" spans="1:10" hidden="1" x14ac:dyDescent="0.35">
      <c r="A165" s="4">
        <f>_xlfn.AGGREGATE(3,5,MaxData[[#This Row],[Facility]])</f>
        <v>0</v>
      </c>
      <c r="B165" s="4" t="s">
        <v>88</v>
      </c>
      <c r="C165" s="5" t="s">
        <v>103</v>
      </c>
      <c r="D165" s="5" t="s">
        <v>7</v>
      </c>
      <c r="E165" s="5" t="s">
        <v>28</v>
      </c>
      <c r="F165" s="4">
        <v>6</v>
      </c>
      <c r="G165" s="4" t="s">
        <v>19</v>
      </c>
      <c r="H165" s="4" t="s">
        <v>189</v>
      </c>
      <c r="I165" s="4"/>
      <c r="J165" s="4">
        <f>IF(MaxData[[#This Row],[Max COVID Status]]="Non",1,IF(MaxData[[#This Row],[Max COVID Status]]="Crisis",2,0))</f>
        <v>1</v>
      </c>
    </row>
    <row r="166" spans="1:10" hidden="1" x14ac:dyDescent="0.35">
      <c r="A166" s="4">
        <f>_xlfn.AGGREGATE(3,5,MaxData[[#This Row],[Facility]])</f>
        <v>0</v>
      </c>
      <c r="B166" s="4" t="s">
        <v>88</v>
      </c>
      <c r="C166" s="5" t="s">
        <v>224</v>
      </c>
      <c r="D166" s="5" t="s">
        <v>7</v>
      </c>
      <c r="E166" s="5" t="s">
        <v>9</v>
      </c>
      <c r="F166" s="4">
        <v>9</v>
      </c>
      <c r="G166" s="4" t="s">
        <v>19</v>
      </c>
      <c r="H166" s="4" t="s">
        <v>187</v>
      </c>
      <c r="I166" s="4">
        <v>-1</v>
      </c>
      <c r="J166" s="4">
        <f>IF(MaxData[[#This Row],[Max COVID Status]]="Non",1,IF(MaxData[[#This Row],[Max COVID Status]]="Crisis",2,0))</f>
        <v>0</v>
      </c>
    </row>
    <row r="167" spans="1:10" hidden="1" x14ac:dyDescent="0.35">
      <c r="A167" s="4">
        <f>_xlfn.AGGREGATE(3,5,MaxData[[#This Row],[Facility]])</f>
        <v>0</v>
      </c>
      <c r="B167" s="4" t="s">
        <v>88</v>
      </c>
      <c r="C167" s="5" t="s">
        <v>224</v>
      </c>
      <c r="D167" s="5" t="s">
        <v>10</v>
      </c>
      <c r="E167" s="5" t="s">
        <v>9</v>
      </c>
      <c r="F167" s="4">
        <v>2</v>
      </c>
      <c r="G167" s="4" t="s">
        <v>19</v>
      </c>
      <c r="H167" s="4" t="s">
        <v>187</v>
      </c>
      <c r="I167" s="4"/>
      <c r="J167" s="4">
        <f>IF(MaxData[[#This Row],[Max COVID Status]]="Non",1,IF(MaxData[[#This Row],[Max COVID Status]]="Crisis",2,0))</f>
        <v>0</v>
      </c>
    </row>
    <row r="168" spans="1:10" hidden="1" x14ac:dyDescent="0.35">
      <c r="A168" s="4">
        <f>_xlfn.AGGREGATE(3,5,MaxData[[#This Row],[Facility]])</f>
        <v>0</v>
      </c>
      <c r="B168" s="4" t="s">
        <v>88</v>
      </c>
      <c r="C168" s="5" t="s">
        <v>224</v>
      </c>
      <c r="D168" s="5" t="s">
        <v>7</v>
      </c>
      <c r="E168" s="5" t="s">
        <v>9</v>
      </c>
      <c r="F168" s="4">
        <v>3</v>
      </c>
      <c r="G168" s="4" t="s">
        <v>19</v>
      </c>
      <c r="H168" s="4" t="s">
        <v>187</v>
      </c>
      <c r="I168" s="4"/>
      <c r="J168" s="4">
        <f>IF(MaxData[[#This Row],[Max COVID Status]]="Non",1,IF(MaxData[[#This Row],[Max COVID Status]]="Crisis",2,0))</f>
        <v>0</v>
      </c>
    </row>
    <row r="169" spans="1:10" hidden="1" x14ac:dyDescent="0.35">
      <c r="A169" s="4">
        <f>_xlfn.AGGREGATE(3,5,MaxData[[#This Row],[Facility]])</f>
        <v>0</v>
      </c>
      <c r="B169" s="4" t="s">
        <v>88</v>
      </c>
      <c r="C169" s="5" t="s">
        <v>226</v>
      </c>
      <c r="D169" s="5" t="s">
        <v>7</v>
      </c>
      <c r="E169" s="5" t="s">
        <v>19</v>
      </c>
      <c r="F169" s="4">
        <v>8</v>
      </c>
      <c r="G169" s="4" t="s">
        <v>19</v>
      </c>
      <c r="H169" s="4" t="s">
        <v>187</v>
      </c>
      <c r="I169" s="4">
        <v>-2</v>
      </c>
      <c r="J169" s="4">
        <f>IF(MaxData[[#This Row],[Max COVID Status]]="Non",1,IF(MaxData[[#This Row],[Max COVID Status]]="Crisis",2,0))</f>
        <v>0</v>
      </c>
    </row>
    <row r="170" spans="1:10" hidden="1" x14ac:dyDescent="0.35">
      <c r="A170" s="4">
        <f>_xlfn.AGGREGATE(3,5,MaxData[[#This Row],[Facility]])</f>
        <v>0</v>
      </c>
      <c r="B170" s="4" t="s">
        <v>88</v>
      </c>
      <c r="C170" s="5" t="s">
        <v>226</v>
      </c>
      <c r="D170" s="5" t="s">
        <v>10</v>
      </c>
      <c r="E170" s="5" t="s">
        <v>19</v>
      </c>
      <c r="F170" s="4">
        <v>1</v>
      </c>
      <c r="G170" s="4" t="s">
        <v>19</v>
      </c>
      <c r="H170" s="4" t="s">
        <v>187</v>
      </c>
      <c r="I170" s="4"/>
      <c r="J170" s="4">
        <f>IF(MaxData[[#This Row],[Max COVID Status]]="Non",1,IF(MaxData[[#This Row],[Max COVID Status]]="Crisis",2,0))</f>
        <v>0</v>
      </c>
    </row>
    <row r="171" spans="1:10" hidden="1" x14ac:dyDescent="0.35">
      <c r="A171" s="4">
        <f>_xlfn.AGGREGATE(3,5,MaxData[[#This Row],[Facility]])</f>
        <v>0</v>
      </c>
      <c r="B171" s="4" t="s">
        <v>88</v>
      </c>
      <c r="C171" s="5" t="s">
        <v>105</v>
      </c>
      <c r="D171" s="5" t="s">
        <v>7</v>
      </c>
      <c r="E171" s="5" t="s">
        <v>19</v>
      </c>
      <c r="F171" s="4">
        <v>20</v>
      </c>
      <c r="G171" s="4" t="s">
        <v>19</v>
      </c>
      <c r="H171" s="4" t="s">
        <v>189</v>
      </c>
      <c r="I171" s="4"/>
      <c r="J171" s="4">
        <f>IF(MaxData[[#This Row],[Max COVID Status]]="Non",1,IF(MaxData[[#This Row],[Max COVID Status]]="Crisis",2,0))</f>
        <v>1</v>
      </c>
    </row>
    <row r="172" spans="1:10" hidden="1" x14ac:dyDescent="0.35">
      <c r="A172" s="4">
        <f>_xlfn.AGGREGATE(3,5,MaxData[[#This Row],[Facility]])</f>
        <v>0</v>
      </c>
      <c r="B172" s="4" t="s">
        <v>88</v>
      </c>
      <c r="C172" s="5" t="s">
        <v>106</v>
      </c>
      <c r="D172" s="5" t="s">
        <v>7</v>
      </c>
      <c r="E172" s="5" t="s">
        <v>19</v>
      </c>
      <c r="F172" s="4">
        <v>22</v>
      </c>
      <c r="G172" s="4" t="s">
        <v>19</v>
      </c>
      <c r="H172" s="4" t="s">
        <v>189</v>
      </c>
      <c r="I172" s="4"/>
      <c r="J172" s="4">
        <f>IF(MaxData[[#This Row],[Max COVID Status]]="Non",1,IF(MaxData[[#This Row],[Max COVID Status]]="Crisis",2,0))</f>
        <v>1</v>
      </c>
    </row>
    <row r="173" spans="1:10" hidden="1" x14ac:dyDescent="0.35">
      <c r="A173" s="4">
        <f>_xlfn.AGGREGATE(3,5,MaxData[[#This Row],[Facility]])</f>
        <v>0</v>
      </c>
      <c r="B173" s="4" t="s">
        <v>88</v>
      </c>
      <c r="C173" s="5" t="s">
        <v>107</v>
      </c>
      <c r="D173" s="5" t="s">
        <v>17</v>
      </c>
      <c r="E173" s="5" t="s">
        <v>13</v>
      </c>
      <c r="F173" s="4">
        <v>8</v>
      </c>
      <c r="G173" s="4" t="s">
        <v>23</v>
      </c>
      <c r="H173" s="4" t="s">
        <v>189</v>
      </c>
      <c r="I173" s="4"/>
      <c r="J173" s="4">
        <f>IF(MaxData[[#This Row],[Max COVID Status]]="Non",1,IF(MaxData[[#This Row],[Max COVID Status]]="Crisis",2,0))</f>
        <v>1</v>
      </c>
    </row>
    <row r="174" spans="1:10" hidden="1" x14ac:dyDescent="0.35">
      <c r="A174" s="4">
        <f>_xlfn.AGGREGATE(3,5,MaxData[[#This Row],[Facility]])</f>
        <v>0</v>
      </c>
      <c r="B174" s="4" t="s">
        <v>88</v>
      </c>
      <c r="C174" s="5" t="s">
        <v>107</v>
      </c>
      <c r="D174" s="5" t="s">
        <v>15</v>
      </c>
      <c r="E174" s="5" t="s">
        <v>13</v>
      </c>
      <c r="F174" s="4">
        <v>2</v>
      </c>
      <c r="G174" s="4" t="s">
        <v>23</v>
      </c>
      <c r="H174" s="4" t="s">
        <v>189</v>
      </c>
      <c r="I174" s="4"/>
      <c r="J174" s="4">
        <f>IF(MaxData[[#This Row],[Max COVID Status]]="Non",1,IF(MaxData[[#This Row],[Max COVID Status]]="Crisis",2,0))</f>
        <v>1</v>
      </c>
    </row>
    <row r="175" spans="1:10" hidden="1" x14ac:dyDescent="0.35">
      <c r="A175" s="4">
        <f>_xlfn.AGGREGATE(3,5,MaxData[[#This Row],[Facility]])</f>
        <v>0</v>
      </c>
      <c r="B175" s="4" t="s">
        <v>88</v>
      </c>
      <c r="C175" s="5" t="s">
        <v>108</v>
      </c>
      <c r="D175" s="5" t="s">
        <v>14</v>
      </c>
      <c r="E175" s="5" t="s">
        <v>13</v>
      </c>
      <c r="F175" s="4">
        <v>13</v>
      </c>
      <c r="G175" s="4" t="s">
        <v>188</v>
      </c>
      <c r="H175" s="4" t="s">
        <v>188</v>
      </c>
      <c r="I175" s="4"/>
      <c r="J175" s="4">
        <f>IF(MaxData[[#This Row],[Max COVID Status]]="Non",1,IF(MaxData[[#This Row],[Max COVID Status]]="Crisis",2,0))</f>
        <v>0</v>
      </c>
    </row>
    <row r="176" spans="1:10" hidden="1" x14ac:dyDescent="0.35">
      <c r="A176" s="4">
        <f>_xlfn.AGGREGATE(3,5,MaxData[[#This Row],[Facility]])</f>
        <v>0</v>
      </c>
      <c r="B176" s="4" t="s">
        <v>88</v>
      </c>
      <c r="C176" s="5" t="s">
        <v>109</v>
      </c>
      <c r="D176" s="5" t="s">
        <v>110</v>
      </c>
      <c r="E176" s="5" t="s">
        <v>13</v>
      </c>
      <c r="F176" s="4">
        <v>16</v>
      </c>
      <c r="G176" s="4" t="s">
        <v>188</v>
      </c>
      <c r="H176" s="4" t="s">
        <v>188</v>
      </c>
      <c r="I176" s="4"/>
      <c r="J176" s="4">
        <f>IF(MaxData[[#This Row],[Max COVID Status]]="Non",1,IF(MaxData[[#This Row],[Max COVID Status]]="Crisis",2,0))</f>
        <v>0</v>
      </c>
    </row>
    <row r="177" spans="1:10" hidden="1" x14ac:dyDescent="0.35">
      <c r="A177" s="4">
        <f>_xlfn.AGGREGATE(3,5,MaxData[[#This Row],[Facility]])</f>
        <v>0</v>
      </c>
      <c r="B177" s="4" t="s">
        <v>88</v>
      </c>
      <c r="C177" s="5" t="s">
        <v>111</v>
      </c>
      <c r="D177" s="5" t="s">
        <v>110</v>
      </c>
      <c r="E177" s="5" t="s">
        <v>13</v>
      </c>
      <c r="F177" s="4">
        <v>8</v>
      </c>
      <c r="G177" s="4" t="s">
        <v>188</v>
      </c>
      <c r="H177" s="4" t="s">
        <v>188</v>
      </c>
      <c r="I177" s="4"/>
      <c r="J177" s="4">
        <f>IF(MaxData[[#This Row],[Max COVID Status]]="Non",1,IF(MaxData[[#This Row],[Max COVID Status]]="Crisis",2,0))</f>
        <v>0</v>
      </c>
    </row>
    <row r="178" spans="1:10" hidden="1" x14ac:dyDescent="0.35">
      <c r="A178" s="4">
        <f>_xlfn.AGGREGATE(3,5,MaxData[[#This Row],[Facility]])</f>
        <v>0</v>
      </c>
      <c r="B178" s="4" t="s">
        <v>88</v>
      </c>
      <c r="C178" s="5" t="s">
        <v>12</v>
      </c>
      <c r="D178" s="5" t="s">
        <v>17</v>
      </c>
      <c r="E178" s="5" t="s">
        <v>13</v>
      </c>
      <c r="F178" s="4">
        <v>9</v>
      </c>
      <c r="G178" s="4" t="s">
        <v>188</v>
      </c>
      <c r="H178" s="4" t="s">
        <v>188</v>
      </c>
      <c r="I178" s="4"/>
      <c r="J178" s="4">
        <f>IF(MaxData[[#This Row],[Max COVID Status]]="Non",1,IF(MaxData[[#This Row],[Max COVID Status]]="Crisis",2,0))</f>
        <v>0</v>
      </c>
    </row>
    <row r="179" spans="1:10" hidden="1" x14ac:dyDescent="0.35">
      <c r="A179" s="4">
        <f>_xlfn.AGGREGATE(3,5,MaxData[[#This Row],[Facility]])</f>
        <v>0</v>
      </c>
      <c r="B179" s="4" t="s">
        <v>88</v>
      </c>
      <c r="C179" s="5" t="s">
        <v>112</v>
      </c>
      <c r="D179" s="5" t="s">
        <v>44</v>
      </c>
      <c r="E179" s="5" t="s">
        <v>113</v>
      </c>
      <c r="F179" s="4">
        <v>10</v>
      </c>
      <c r="G179" s="4" t="s">
        <v>19</v>
      </c>
      <c r="H179" s="4" t="s">
        <v>189</v>
      </c>
      <c r="I179" s="4"/>
      <c r="J179" s="4">
        <f>IF(MaxData[[#This Row],[Max COVID Status]]="Non",1,IF(MaxData[[#This Row],[Max COVID Status]]="Crisis",2,0))</f>
        <v>1</v>
      </c>
    </row>
    <row r="180" spans="1:10" hidden="1" x14ac:dyDescent="0.35">
      <c r="A180" s="4">
        <f>_xlfn.AGGREGATE(3,5,MaxData[[#This Row],[Facility]])</f>
        <v>0</v>
      </c>
      <c r="B180" s="4" t="s">
        <v>88</v>
      </c>
      <c r="C180" s="5" t="s">
        <v>114</v>
      </c>
      <c r="D180" s="5" t="s">
        <v>44</v>
      </c>
      <c r="E180" s="5" t="s">
        <v>83</v>
      </c>
      <c r="F180" s="4">
        <v>30</v>
      </c>
      <c r="G180" s="4" t="s">
        <v>188</v>
      </c>
      <c r="H180" s="4" t="s">
        <v>188</v>
      </c>
      <c r="I180" s="4"/>
      <c r="J180" s="4">
        <f>IF(MaxData[[#This Row],[Max COVID Status]]="Non",1,IF(MaxData[[#This Row],[Max COVID Status]]="Crisis",2,0))</f>
        <v>0</v>
      </c>
    </row>
    <row r="181" spans="1:10" hidden="1" x14ac:dyDescent="0.35">
      <c r="A181" s="4">
        <f>_xlfn.AGGREGATE(3,5,MaxData[[#This Row],[Facility]])</f>
        <v>0</v>
      </c>
      <c r="B181" s="4" t="s">
        <v>88</v>
      </c>
      <c r="C181" s="5" t="s">
        <v>114</v>
      </c>
      <c r="D181" s="5" t="s">
        <v>43</v>
      </c>
      <c r="E181" s="5" t="s">
        <v>83</v>
      </c>
      <c r="F181" s="4">
        <v>2</v>
      </c>
      <c r="G181" s="4" t="s">
        <v>188</v>
      </c>
      <c r="H181" s="4" t="s">
        <v>188</v>
      </c>
      <c r="I181" s="4"/>
      <c r="J181" s="4">
        <f>IF(MaxData[[#This Row],[Max COVID Status]]="Non",1,IF(MaxData[[#This Row],[Max COVID Status]]="Crisis",2,0))</f>
        <v>0</v>
      </c>
    </row>
    <row r="182" spans="1:10" hidden="1" x14ac:dyDescent="0.35">
      <c r="A182" s="4">
        <f>_xlfn.AGGREGATE(3,5,MaxData[[#This Row],[Facility]])</f>
        <v>0</v>
      </c>
      <c r="B182" s="4" t="s">
        <v>88</v>
      </c>
      <c r="C182" s="5" t="s">
        <v>115</v>
      </c>
      <c r="D182" s="5" t="s">
        <v>116</v>
      </c>
      <c r="E182" s="5" t="s">
        <v>113</v>
      </c>
      <c r="F182" s="4">
        <v>12</v>
      </c>
      <c r="G182" s="4" t="s">
        <v>188</v>
      </c>
      <c r="H182" s="4" t="s">
        <v>188</v>
      </c>
      <c r="I182" s="4"/>
      <c r="J182" s="4">
        <f>IF(MaxData[[#This Row],[Max COVID Status]]="Non",1,IF(MaxData[[#This Row],[Max COVID Status]]="Crisis",2,0))</f>
        <v>0</v>
      </c>
    </row>
    <row r="183" spans="1:10" hidden="1" x14ac:dyDescent="0.35">
      <c r="A183" s="4">
        <f>_xlfn.AGGREGATE(3,5,MaxData[[#This Row],[Facility]])</f>
        <v>0</v>
      </c>
      <c r="B183" s="4" t="s">
        <v>88</v>
      </c>
      <c r="C183" s="5" t="s">
        <v>225</v>
      </c>
      <c r="D183" s="5" t="s">
        <v>84</v>
      </c>
      <c r="E183" s="5" t="s">
        <v>23</v>
      </c>
      <c r="F183" s="4">
        <v>16</v>
      </c>
      <c r="G183" s="4" t="s">
        <v>188</v>
      </c>
      <c r="H183" s="4" t="s">
        <v>188</v>
      </c>
      <c r="I183" s="4"/>
      <c r="J183" s="4">
        <f>IF(MaxData[[#This Row],[Max COVID Status]]="Non",1,IF(MaxData[[#This Row],[Max COVID Status]]="Crisis",2,0))</f>
        <v>0</v>
      </c>
    </row>
    <row r="184" spans="1:10" hidden="1" x14ac:dyDescent="0.35">
      <c r="A184" s="4">
        <f>_xlfn.AGGREGATE(3,5,MaxData[[#This Row],[Facility]])</f>
        <v>0</v>
      </c>
      <c r="B184" s="4" t="s">
        <v>88</v>
      </c>
      <c r="C184" s="5" t="s">
        <v>117</v>
      </c>
      <c r="D184" s="5" t="s">
        <v>84</v>
      </c>
      <c r="E184" s="5" t="s">
        <v>19</v>
      </c>
      <c r="F184" s="4">
        <v>10</v>
      </c>
      <c r="G184" s="4" t="s">
        <v>19</v>
      </c>
      <c r="H184" s="4" t="s">
        <v>187</v>
      </c>
      <c r="I184" s="4"/>
      <c r="J184" s="4">
        <f>IF(MaxData[[#This Row],[Max COVID Status]]="Non",1,IF(MaxData[[#This Row],[Max COVID Status]]="Crisis",2,0))</f>
        <v>0</v>
      </c>
    </row>
    <row r="185" spans="1:10" hidden="1" x14ac:dyDescent="0.35">
      <c r="A185" s="4">
        <f>_xlfn.AGGREGATE(3,5,MaxData[[#This Row],[Facility]])</f>
        <v>0</v>
      </c>
      <c r="B185" s="4" t="s">
        <v>118</v>
      </c>
      <c r="C185" s="5" t="s">
        <v>119</v>
      </c>
      <c r="D185" s="5" t="s">
        <v>7</v>
      </c>
      <c r="E185" s="5" t="s">
        <v>19</v>
      </c>
      <c r="F185" s="4">
        <v>11</v>
      </c>
      <c r="G185" s="4" t="s">
        <v>19</v>
      </c>
      <c r="H185" s="4" t="s">
        <v>187</v>
      </c>
      <c r="I185" s="4"/>
      <c r="J185" s="4">
        <f>IF(MaxData[[#This Row],[Max COVID Status]]="Non",1,IF(MaxData[[#This Row],[Max COVID Status]]="Crisis",2,0))</f>
        <v>0</v>
      </c>
    </row>
    <row r="186" spans="1:10" hidden="1" x14ac:dyDescent="0.35">
      <c r="A186" s="4">
        <f>_xlfn.AGGREGATE(3,5,MaxData[[#This Row],[Facility]])</f>
        <v>0</v>
      </c>
      <c r="B186" s="4" t="s">
        <v>118</v>
      </c>
      <c r="C186" s="5" t="s">
        <v>241</v>
      </c>
      <c r="D186" s="5" t="s">
        <v>7</v>
      </c>
      <c r="E186" s="5" t="s">
        <v>19</v>
      </c>
      <c r="F186" s="4">
        <v>11</v>
      </c>
      <c r="G186" s="4" t="s">
        <v>19</v>
      </c>
      <c r="H186" s="4" t="s">
        <v>187</v>
      </c>
      <c r="I186" s="4"/>
      <c r="J186" s="4">
        <f>IF(MaxData[[#This Row],[Max COVID Status]]="Non",1,IF(MaxData[[#This Row],[Max COVID Status]]="Crisis",2,0))</f>
        <v>0</v>
      </c>
    </row>
    <row r="187" spans="1:10" hidden="1" x14ac:dyDescent="0.35">
      <c r="A187" s="4">
        <f>_xlfn.AGGREGATE(3,5,MaxData[[#This Row],[Facility]])</f>
        <v>0</v>
      </c>
      <c r="B187" s="4" t="s">
        <v>118</v>
      </c>
      <c r="C187" s="5" t="s">
        <v>119</v>
      </c>
      <c r="D187" s="5" t="s">
        <v>24</v>
      </c>
      <c r="E187" s="5" t="s">
        <v>19</v>
      </c>
      <c r="F187" s="4">
        <v>6</v>
      </c>
      <c r="G187" s="4" t="s">
        <v>19</v>
      </c>
      <c r="H187" s="4" t="s">
        <v>187</v>
      </c>
      <c r="I187" s="4"/>
      <c r="J187" s="4">
        <f>IF(MaxData[[#This Row],[Max COVID Status]]="Non",1,IF(MaxData[[#This Row],[Max COVID Status]]="Crisis",2,0))</f>
        <v>0</v>
      </c>
    </row>
    <row r="188" spans="1:10" hidden="1" x14ac:dyDescent="0.35">
      <c r="A188" s="4">
        <f>_xlfn.AGGREGATE(3,5,MaxData[[#This Row],[Facility]])</f>
        <v>0</v>
      </c>
      <c r="B188" s="4" t="s">
        <v>118</v>
      </c>
      <c r="C188" s="5" t="s">
        <v>120</v>
      </c>
      <c r="D188" s="5" t="s">
        <v>10</v>
      </c>
      <c r="E188" s="5" t="s">
        <v>19</v>
      </c>
      <c r="F188" s="4">
        <v>30</v>
      </c>
      <c r="G188" s="4" t="s">
        <v>19</v>
      </c>
      <c r="H188" s="4" t="s">
        <v>187</v>
      </c>
      <c r="I188" s="4"/>
      <c r="J188" s="4">
        <f>IF(MaxData[[#This Row],[Max COVID Status]]="Non",1,IF(MaxData[[#This Row],[Max COVID Status]]="Crisis",2,0))</f>
        <v>0</v>
      </c>
    </row>
    <row r="189" spans="1:10" hidden="1" x14ac:dyDescent="0.35">
      <c r="A189" s="4">
        <f>_xlfn.AGGREGATE(3,5,MaxData[[#This Row],[Facility]])</f>
        <v>0</v>
      </c>
      <c r="B189" s="4" t="s">
        <v>118</v>
      </c>
      <c r="C189" s="5" t="s">
        <v>121</v>
      </c>
      <c r="D189" s="5" t="s">
        <v>7</v>
      </c>
      <c r="E189" s="5" t="s">
        <v>19</v>
      </c>
      <c r="F189" s="4">
        <v>28</v>
      </c>
      <c r="G189" s="4" t="s">
        <v>19</v>
      </c>
      <c r="H189" s="4" t="s">
        <v>187</v>
      </c>
      <c r="I189" s="4"/>
      <c r="J189" s="4">
        <f>IF(MaxData[[#This Row],[Max COVID Status]]="Non",1,IF(MaxData[[#This Row],[Max COVID Status]]="Crisis",2,0))</f>
        <v>0</v>
      </c>
    </row>
    <row r="190" spans="1:10" hidden="1" x14ac:dyDescent="0.35">
      <c r="A190" s="4">
        <f>_xlfn.AGGREGATE(3,5,MaxData[[#This Row],[Facility]])</f>
        <v>0</v>
      </c>
      <c r="B190" s="4" t="s">
        <v>118</v>
      </c>
      <c r="C190" s="5" t="s">
        <v>121</v>
      </c>
      <c r="D190" s="5" t="s">
        <v>10</v>
      </c>
      <c r="E190" s="5" t="s">
        <v>19</v>
      </c>
      <c r="F190" s="4">
        <v>2</v>
      </c>
      <c r="G190" s="4" t="s">
        <v>19</v>
      </c>
      <c r="H190" s="4" t="s">
        <v>187</v>
      </c>
      <c r="I190" s="4"/>
      <c r="J190" s="4">
        <f>IF(MaxData[[#This Row],[Max COVID Status]]="Non",1,IF(MaxData[[#This Row],[Max COVID Status]]="Crisis",2,0))</f>
        <v>0</v>
      </c>
    </row>
    <row r="191" spans="1:10" hidden="1" x14ac:dyDescent="0.35">
      <c r="A191" s="4">
        <f>_xlfn.AGGREGATE(3,5,MaxData[[#This Row],[Facility]])</f>
        <v>0</v>
      </c>
      <c r="B191" s="4" t="s">
        <v>118</v>
      </c>
      <c r="C191" s="5" t="s">
        <v>122</v>
      </c>
      <c r="D191" s="5" t="s">
        <v>7</v>
      </c>
      <c r="E191" s="5" t="s">
        <v>19</v>
      </c>
      <c r="F191" s="4">
        <v>28</v>
      </c>
      <c r="G191" s="4" t="s">
        <v>19</v>
      </c>
      <c r="H191" s="4" t="s">
        <v>189</v>
      </c>
      <c r="I191" s="4"/>
      <c r="J191" s="4">
        <f>IF(MaxData[[#This Row],[Max COVID Status]]="Non",1,IF(MaxData[[#This Row],[Max COVID Status]]="Crisis",2,0))</f>
        <v>1</v>
      </c>
    </row>
    <row r="192" spans="1:10" hidden="1" x14ac:dyDescent="0.35">
      <c r="A192" s="4">
        <f>_xlfn.AGGREGATE(3,5,MaxData[[#This Row],[Facility]])</f>
        <v>0</v>
      </c>
      <c r="B192" s="4" t="s">
        <v>118</v>
      </c>
      <c r="C192" s="5" t="s">
        <v>122</v>
      </c>
      <c r="D192" s="5" t="s">
        <v>10</v>
      </c>
      <c r="E192" s="5" t="s">
        <v>19</v>
      </c>
      <c r="F192" s="4">
        <v>2</v>
      </c>
      <c r="G192" s="4" t="s">
        <v>19</v>
      </c>
      <c r="H192" s="4" t="s">
        <v>189</v>
      </c>
      <c r="I192" s="4"/>
      <c r="J192" s="4">
        <f>IF(MaxData[[#This Row],[Max COVID Status]]="Non",1,IF(MaxData[[#This Row],[Max COVID Status]]="Crisis",2,0))</f>
        <v>1</v>
      </c>
    </row>
    <row r="193" spans="1:10" hidden="1" x14ac:dyDescent="0.35">
      <c r="A193" s="4">
        <f>_xlfn.AGGREGATE(3,5,MaxData[[#This Row],[Facility]])</f>
        <v>0</v>
      </c>
      <c r="B193" s="4" t="s">
        <v>118</v>
      </c>
      <c r="C193" s="5" t="s">
        <v>123</v>
      </c>
      <c r="D193" s="5" t="s">
        <v>7</v>
      </c>
      <c r="E193" s="5" t="s">
        <v>19</v>
      </c>
      <c r="F193" s="4">
        <v>21</v>
      </c>
      <c r="G193" s="4" t="s">
        <v>23</v>
      </c>
      <c r="H193" s="4" t="s">
        <v>189</v>
      </c>
      <c r="I193" s="4"/>
      <c r="J193" s="4">
        <f>IF(MaxData[[#This Row],[Max COVID Status]]="Non",1,IF(MaxData[[#This Row],[Max COVID Status]]="Crisis",2,0))</f>
        <v>1</v>
      </c>
    </row>
    <row r="194" spans="1:10" hidden="1" x14ac:dyDescent="0.35">
      <c r="A194" s="4">
        <f>_xlfn.AGGREGATE(3,5,MaxData[[#This Row],[Facility]])</f>
        <v>0</v>
      </c>
      <c r="B194" s="4" t="s">
        <v>118</v>
      </c>
      <c r="C194" s="5" t="s">
        <v>104</v>
      </c>
      <c r="D194" s="5" t="s">
        <v>7</v>
      </c>
      <c r="E194" s="5" t="s">
        <v>9</v>
      </c>
      <c r="F194" s="4">
        <v>15</v>
      </c>
      <c r="G194" s="4" t="s">
        <v>19</v>
      </c>
      <c r="H194" s="4" t="s">
        <v>189</v>
      </c>
      <c r="I194" s="4"/>
      <c r="J194" s="4">
        <f>IF(MaxData[[#This Row],[Max COVID Status]]="Non",1,IF(MaxData[[#This Row],[Max COVID Status]]="Crisis",2,0))</f>
        <v>1</v>
      </c>
    </row>
    <row r="195" spans="1:10" hidden="1" x14ac:dyDescent="0.35">
      <c r="A195" s="4">
        <f>_xlfn.AGGREGATE(3,5,MaxData[[#This Row],[Facility]])</f>
        <v>0</v>
      </c>
      <c r="B195" s="4" t="s">
        <v>118</v>
      </c>
      <c r="C195" s="5" t="s">
        <v>104</v>
      </c>
      <c r="D195" s="5" t="s">
        <v>10</v>
      </c>
      <c r="E195" s="5" t="s">
        <v>9</v>
      </c>
      <c r="F195" s="4">
        <v>2</v>
      </c>
      <c r="G195" s="4" t="s">
        <v>19</v>
      </c>
      <c r="H195" s="4" t="s">
        <v>189</v>
      </c>
      <c r="I195" s="4"/>
      <c r="J195" s="4">
        <f>IF(MaxData[[#This Row],[Max COVID Status]]="Non",1,IF(MaxData[[#This Row],[Max COVID Status]]="Crisis",2,0))</f>
        <v>1</v>
      </c>
    </row>
    <row r="196" spans="1:10" hidden="1" x14ac:dyDescent="0.35">
      <c r="A196" s="4">
        <f>_xlfn.AGGREGATE(3,5,MaxData[[#This Row],[Facility]])</f>
        <v>0</v>
      </c>
      <c r="B196" s="4" t="s">
        <v>118</v>
      </c>
      <c r="C196" s="5" t="s">
        <v>104</v>
      </c>
      <c r="D196" s="5" t="s">
        <v>24</v>
      </c>
      <c r="E196" s="5" t="s">
        <v>9</v>
      </c>
      <c r="F196" s="4">
        <v>6</v>
      </c>
      <c r="G196" s="4" t="s">
        <v>188</v>
      </c>
      <c r="H196" s="4" t="s">
        <v>188</v>
      </c>
      <c r="I196" s="4"/>
      <c r="J196" s="4">
        <f>IF(MaxData[[#This Row],[Max COVID Status]]="Non",1,IF(MaxData[[#This Row],[Max COVID Status]]="Crisis",2,0))</f>
        <v>0</v>
      </c>
    </row>
    <row r="197" spans="1:10" hidden="1" x14ac:dyDescent="0.35">
      <c r="A197" s="4">
        <f>_xlfn.AGGREGATE(3,5,MaxData[[#This Row],[Facility]])</f>
        <v>0</v>
      </c>
      <c r="B197" s="4" t="s">
        <v>118</v>
      </c>
      <c r="C197" s="5" t="s">
        <v>124</v>
      </c>
      <c r="D197" s="5" t="s">
        <v>7</v>
      </c>
      <c r="E197" s="5" t="s">
        <v>28</v>
      </c>
      <c r="F197" s="4">
        <v>16</v>
      </c>
      <c r="G197" s="4" t="s">
        <v>23</v>
      </c>
      <c r="H197" s="4" t="s">
        <v>189</v>
      </c>
      <c r="I197" s="4"/>
      <c r="J197" s="4">
        <f>IF(MaxData[[#This Row],[Max COVID Status]]="Non",1,IF(MaxData[[#This Row],[Max COVID Status]]="Crisis",2,0))</f>
        <v>1</v>
      </c>
    </row>
    <row r="198" spans="1:10" hidden="1" x14ac:dyDescent="0.35">
      <c r="A198" s="4">
        <f>_xlfn.AGGREGATE(3,5,MaxData[[#This Row],[Facility]])</f>
        <v>0</v>
      </c>
      <c r="B198" s="4" t="s">
        <v>118</v>
      </c>
      <c r="C198" s="5" t="s">
        <v>124</v>
      </c>
      <c r="D198" s="5" t="s">
        <v>10</v>
      </c>
      <c r="E198" s="5" t="s">
        <v>28</v>
      </c>
      <c r="F198" s="4">
        <v>2</v>
      </c>
      <c r="G198" s="4" t="s">
        <v>23</v>
      </c>
      <c r="H198" s="4" t="s">
        <v>189</v>
      </c>
      <c r="I198" s="4"/>
      <c r="J198" s="4">
        <f>IF(MaxData[[#This Row],[Max COVID Status]]="Non",1,IF(MaxData[[#This Row],[Max COVID Status]]="Crisis",2,0))</f>
        <v>1</v>
      </c>
    </row>
    <row r="199" spans="1:10" hidden="1" x14ac:dyDescent="0.35">
      <c r="A199" s="4">
        <f>_xlfn.AGGREGATE(3,5,MaxData[[#This Row],[Facility]])</f>
        <v>0</v>
      </c>
      <c r="B199" s="4" t="s">
        <v>118</v>
      </c>
      <c r="C199" s="5" t="s">
        <v>233</v>
      </c>
      <c r="D199" s="5" t="s">
        <v>7</v>
      </c>
      <c r="E199" s="5" t="s">
        <v>23</v>
      </c>
      <c r="F199" s="4">
        <v>16</v>
      </c>
      <c r="G199" s="4" t="s">
        <v>23</v>
      </c>
      <c r="H199" s="4" t="s">
        <v>187</v>
      </c>
      <c r="I199" s="4"/>
      <c r="J199" s="4">
        <f>IF(MaxData[[#This Row],[Max COVID Status]]="Non",1,IF(MaxData[[#This Row],[Max COVID Status]]="Crisis",2,0))</f>
        <v>0</v>
      </c>
    </row>
    <row r="200" spans="1:10" hidden="1" x14ac:dyDescent="0.35">
      <c r="A200" s="4">
        <f>_xlfn.AGGREGATE(3,5,MaxData[[#This Row],[Facility]])</f>
        <v>0</v>
      </c>
      <c r="B200" s="4" t="s">
        <v>118</v>
      </c>
      <c r="C200" s="5" t="s">
        <v>234</v>
      </c>
      <c r="D200" s="5" t="s">
        <v>7</v>
      </c>
      <c r="E200" s="5" t="s">
        <v>23</v>
      </c>
      <c r="F200" s="4">
        <v>0</v>
      </c>
      <c r="G200" s="4" t="s">
        <v>23</v>
      </c>
      <c r="H200" s="4" t="s">
        <v>187</v>
      </c>
      <c r="I200" s="4"/>
      <c r="J200" s="4">
        <f>IF(MaxData[[#This Row],[Max COVID Status]]="Non",1,IF(MaxData[[#This Row],[Max COVID Status]]="Crisis",2,0))</f>
        <v>0</v>
      </c>
    </row>
    <row r="201" spans="1:10" hidden="1" x14ac:dyDescent="0.35">
      <c r="A201" s="4">
        <f>_xlfn.AGGREGATE(3,5,MaxData[[#This Row],[Facility]])</f>
        <v>0</v>
      </c>
      <c r="B201" s="4" t="s">
        <v>118</v>
      </c>
      <c r="C201" s="5" t="s">
        <v>125</v>
      </c>
      <c r="D201" s="5" t="s">
        <v>10</v>
      </c>
      <c r="E201" s="5" t="s">
        <v>19</v>
      </c>
      <c r="F201" s="4">
        <v>2</v>
      </c>
      <c r="G201" s="4" t="s">
        <v>19</v>
      </c>
      <c r="H201" s="4" t="s">
        <v>187</v>
      </c>
      <c r="I201" s="4"/>
      <c r="J201" s="4">
        <f>IF(MaxData[[#This Row],[Max COVID Status]]="Non",1,IF(MaxData[[#This Row],[Max COVID Status]]="Crisis",2,0))</f>
        <v>0</v>
      </c>
    </row>
    <row r="202" spans="1:10" hidden="1" x14ac:dyDescent="0.35">
      <c r="A202" s="4">
        <f>_xlfn.AGGREGATE(3,5,MaxData[[#This Row],[Facility]])</f>
        <v>0</v>
      </c>
      <c r="B202" s="4" t="s">
        <v>118</v>
      </c>
      <c r="C202" s="5" t="s">
        <v>60</v>
      </c>
      <c r="D202" s="5" t="s">
        <v>7</v>
      </c>
      <c r="E202" s="5" t="s">
        <v>60</v>
      </c>
      <c r="F202" s="4">
        <v>24</v>
      </c>
      <c r="G202" s="4" t="s">
        <v>60</v>
      </c>
      <c r="H202" s="4" t="s">
        <v>189</v>
      </c>
      <c r="I202" s="4"/>
      <c r="J202" s="4">
        <f>IF(MaxData[[#This Row],[Max COVID Status]]="Non",1,IF(MaxData[[#This Row],[Max COVID Status]]="Crisis",2,0))</f>
        <v>1</v>
      </c>
    </row>
    <row r="203" spans="1:10" hidden="1" x14ac:dyDescent="0.35">
      <c r="A203" s="4">
        <f>_xlfn.AGGREGATE(3,5,MaxData[[#This Row],[Facility]])</f>
        <v>0</v>
      </c>
      <c r="B203" s="4" t="s">
        <v>118</v>
      </c>
      <c r="C203" s="5" t="s">
        <v>126</v>
      </c>
      <c r="D203" s="5" t="s">
        <v>10</v>
      </c>
      <c r="E203" s="5" t="s">
        <v>60</v>
      </c>
      <c r="F203" s="4">
        <v>1</v>
      </c>
      <c r="G203" s="4" t="s">
        <v>60</v>
      </c>
      <c r="H203" s="4" t="s">
        <v>189</v>
      </c>
      <c r="I203" s="4"/>
      <c r="J203" s="4">
        <f>IF(MaxData[[#This Row],[Max COVID Status]]="Non",1,IF(MaxData[[#This Row],[Max COVID Status]]="Crisis",2,0))</f>
        <v>1</v>
      </c>
    </row>
    <row r="204" spans="1:10" hidden="1" x14ac:dyDescent="0.35">
      <c r="A204" s="4">
        <f>_xlfn.AGGREGATE(3,5,MaxData[[#This Row],[Facility]])</f>
        <v>0</v>
      </c>
      <c r="B204" s="4" t="s">
        <v>118</v>
      </c>
      <c r="C204" s="5" t="s">
        <v>127</v>
      </c>
      <c r="D204" s="5" t="s">
        <v>7</v>
      </c>
      <c r="E204" s="5" t="s">
        <v>19</v>
      </c>
      <c r="F204" s="4">
        <v>32</v>
      </c>
      <c r="G204" s="4" t="s">
        <v>19</v>
      </c>
      <c r="H204" s="4" t="s">
        <v>189</v>
      </c>
      <c r="I204" s="4"/>
      <c r="J204" s="4">
        <f>IF(MaxData[[#This Row],[Max COVID Status]]="Non",1,IF(MaxData[[#This Row],[Max COVID Status]]="Crisis",2,0))</f>
        <v>1</v>
      </c>
    </row>
    <row r="205" spans="1:10" hidden="1" x14ac:dyDescent="0.35">
      <c r="A205" s="4">
        <f>_xlfn.AGGREGATE(3,5,MaxData[[#This Row],[Facility]])</f>
        <v>0</v>
      </c>
      <c r="B205" s="4" t="s">
        <v>118</v>
      </c>
      <c r="C205" s="5" t="s">
        <v>128</v>
      </c>
      <c r="D205" s="5" t="s">
        <v>10</v>
      </c>
      <c r="E205" s="5" t="s">
        <v>19</v>
      </c>
      <c r="F205" s="4">
        <v>2</v>
      </c>
      <c r="G205" s="4" t="s">
        <v>19</v>
      </c>
      <c r="H205" s="4" t="s">
        <v>187</v>
      </c>
      <c r="I205" s="4"/>
      <c r="J205" s="4">
        <f>IF(MaxData[[#This Row],[Max COVID Status]]="Non",1,IF(MaxData[[#This Row],[Max COVID Status]]="Crisis",2,0))</f>
        <v>0</v>
      </c>
    </row>
    <row r="206" spans="1:10" hidden="1" x14ac:dyDescent="0.35">
      <c r="A206" s="4">
        <f>_xlfn.AGGREGATE(3,5,MaxData[[#This Row],[Facility]])</f>
        <v>0</v>
      </c>
      <c r="B206" s="4" t="s">
        <v>118</v>
      </c>
      <c r="C206" s="5" t="s">
        <v>129</v>
      </c>
      <c r="D206" s="5" t="s">
        <v>17</v>
      </c>
      <c r="E206" s="5" t="s">
        <v>13</v>
      </c>
      <c r="F206" s="4">
        <v>14</v>
      </c>
      <c r="G206" s="4" t="s">
        <v>23</v>
      </c>
      <c r="H206" s="4" t="s">
        <v>187</v>
      </c>
      <c r="I206" s="4"/>
      <c r="J206" s="4">
        <f>IF(MaxData[[#This Row],[Max COVID Status]]="Non",1,IF(MaxData[[#This Row],[Max COVID Status]]="Crisis",2,0))</f>
        <v>0</v>
      </c>
    </row>
    <row r="207" spans="1:10" hidden="1" x14ac:dyDescent="0.35">
      <c r="A207" s="4">
        <f>_xlfn.AGGREGATE(3,5,MaxData[[#This Row],[Facility]])</f>
        <v>0</v>
      </c>
      <c r="B207" s="4" t="s">
        <v>118</v>
      </c>
      <c r="C207" s="5" t="s">
        <v>130</v>
      </c>
      <c r="D207" s="5" t="s">
        <v>17</v>
      </c>
      <c r="E207" s="5" t="s">
        <v>13</v>
      </c>
      <c r="F207" s="4">
        <v>10</v>
      </c>
      <c r="G207" s="4" t="s">
        <v>23</v>
      </c>
      <c r="H207" s="4" t="s">
        <v>187</v>
      </c>
      <c r="I207" s="4"/>
      <c r="J207" s="4">
        <f>IF(MaxData[[#This Row],[Max COVID Status]]="Non",1,IF(MaxData[[#This Row],[Max COVID Status]]="Crisis",2,0))</f>
        <v>0</v>
      </c>
    </row>
    <row r="208" spans="1:10" hidden="1" x14ac:dyDescent="0.35">
      <c r="A208" s="4">
        <f>_xlfn.AGGREGATE(3,5,MaxData[[#This Row],[Facility]])</f>
        <v>0</v>
      </c>
      <c r="B208" s="4" t="s">
        <v>118</v>
      </c>
      <c r="C208" s="5" t="s">
        <v>228</v>
      </c>
      <c r="D208" s="5" t="s">
        <v>7</v>
      </c>
      <c r="E208" s="5" t="s">
        <v>83</v>
      </c>
      <c r="F208" s="4">
        <v>17</v>
      </c>
      <c r="G208" s="4" t="s">
        <v>19</v>
      </c>
      <c r="H208" s="4" t="s">
        <v>187</v>
      </c>
      <c r="I208" s="4"/>
      <c r="J208" s="4">
        <f>IF(MaxData[[#This Row],[Max COVID Status]]="Non",1,IF(MaxData[[#This Row],[Max COVID Status]]="Crisis",2,0))</f>
        <v>0</v>
      </c>
    </row>
    <row r="209" spans="1:10" hidden="1" x14ac:dyDescent="0.35">
      <c r="A209" s="4">
        <f>_xlfn.AGGREGATE(3,5,MaxData[[#This Row],[Facility]])</f>
        <v>0</v>
      </c>
      <c r="B209" s="4" t="s">
        <v>118</v>
      </c>
      <c r="C209" s="5" t="s">
        <v>228</v>
      </c>
      <c r="D209" s="5" t="s">
        <v>24</v>
      </c>
      <c r="E209" s="5" t="s">
        <v>83</v>
      </c>
      <c r="F209" s="4">
        <v>4</v>
      </c>
      <c r="G209" s="4" t="s">
        <v>19</v>
      </c>
      <c r="H209" s="4" t="s">
        <v>187</v>
      </c>
      <c r="I209" s="4"/>
      <c r="J209" s="4">
        <f>IF(MaxData[[#This Row],[Max COVID Status]]="Non",1,IF(MaxData[[#This Row],[Max COVID Status]]="Crisis",2,0))</f>
        <v>0</v>
      </c>
    </row>
    <row r="210" spans="1:10" hidden="1" x14ac:dyDescent="0.35">
      <c r="A210" s="4">
        <f>_xlfn.AGGREGATE(3,5,MaxData[[#This Row],[Facility]])</f>
        <v>0</v>
      </c>
      <c r="B210" s="4" t="s">
        <v>118</v>
      </c>
      <c r="C210" s="5" t="s">
        <v>229</v>
      </c>
      <c r="D210" s="5" t="s">
        <v>7</v>
      </c>
      <c r="E210" s="5" t="s">
        <v>83</v>
      </c>
      <c r="F210" s="4">
        <v>10</v>
      </c>
      <c r="G210" s="4" t="s">
        <v>19</v>
      </c>
      <c r="H210" s="4" t="s">
        <v>187</v>
      </c>
      <c r="I210" s="4"/>
      <c r="J210" s="4">
        <f>IF(MaxData[[#This Row],[Max COVID Status]]="Non",1,IF(MaxData[[#This Row],[Max COVID Status]]="Crisis",2,0))</f>
        <v>0</v>
      </c>
    </row>
    <row r="211" spans="1:10" hidden="1" x14ac:dyDescent="0.35">
      <c r="A211" s="4">
        <f>_xlfn.AGGREGATE(3,5,MaxData[[#This Row],[Facility]])</f>
        <v>0</v>
      </c>
      <c r="B211" s="4" t="s">
        <v>118</v>
      </c>
      <c r="C211" s="5" t="s">
        <v>131</v>
      </c>
      <c r="D211" s="5" t="s">
        <v>132</v>
      </c>
      <c r="E211" s="5" t="s">
        <v>13</v>
      </c>
      <c r="F211" s="4">
        <v>6</v>
      </c>
      <c r="G211" s="4" t="s">
        <v>188</v>
      </c>
      <c r="H211" s="4" t="s">
        <v>188</v>
      </c>
      <c r="I211" s="4"/>
      <c r="J211" s="4">
        <f>IF(MaxData[[#This Row],[Max COVID Status]]="Non",1,IF(MaxData[[#This Row],[Max COVID Status]]="Crisis",2,0))</f>
        <v>0</v>
      </c>
    </row>
    <row r="212" spans="1:10" hidden="1" x14ac:dyDescent="0.35">
      <c r="A212" s="4">
        <f>_xlfn.AGGREGATE(3,5,MaxData[[#This Row],[Facility]])</f>
        <v>0</v>
      </c>
      <c r="B212" s="4" t="s">
        <v>118</v>
      </c>
      <c r="C212" s="5" t="s">
        <v>133</v>
      </c>
      <c r="D212" s="5" t="s">
        <v>132</v>
      </c>
      <c r="E212" s="5" t="s">
        <v>13</v>
      </c>
      <c r="F212" s="4">
        <v>8</v>
      </c>
      <c r="G212" s="4" t="s">
        <v>188</v>
      </c>
      <c r="H212" s="4" t="s">
        <v>188</v>
      </c>
      <c r="I212" s="4"/>
      <c r="J212" s="4">
        <f>IF(MaxData[[#This Row],[Max COVID Status]]="Non",1,IF(MaxData[[#This Row],[Max COVID Status]]="Crisis",2,0))</f>
        <v>0</v>
      </c>
    </row>
    <row r="213" spans="1:10" hidden="1" x14ac:dyDescent="0.35">
      <c r="A213" s="4">
        <f>_xlfn.AGGREGATE(3,5,MaxData[[#This Row],[Facility]])</f>
        <v>0</v>
      </c>
      <c r="B213" s="4" t="s">
        <v>118</v>
      </c>
      <c r="C213" s="5" t="s">
        <v>134</v>
      </c>
      <c r="D213" s="5" t="s">
        <v>132</v>
      </c>
      <c r="E213" s="5" t="s">
        <v>13</v>
      </c>
      <c r="F213" s="4">
        <v>14</v>
      </c>
      <c r="G213" s="4" t="s">
        <v>188</v>
      </c>
      <c r="H213" s="4" t="s">
        <v>188</v>
      </c>
      <c r="I213" s="4"/>
      <c r="J213" s="4">
        <f>IF(MaxData[[#This Row],[Max COVID Status]]="Non",1,IF(MaxData[[#This Row],[Max COVID Status]]="Crisis",2,0))</f>
        <v>0</v>
      </c>
    </row>
    <row r="214" spans="1:10" hidden="1" x14ac:dyDescent="0.35">
      <c r="A214" s="4">
        <f>_xlfn.AGGREGATE(3,5,MaxData[[#This Row],[Facility]])</f>
        <v>0</v>
      </c>
      <c r="B214" s="4" t="s">
        <v>118</v>
      </c>
      <c r="C214" s="5" t="s">
        <v>117</v>
      </c>
      <c r="D214" s="5" t="s">
        <v>84</v>
      </c>
      <c r="E214" s="5" t="s">
        <v>19</v>
      </c>
      <c r="F214" s="4">
        <v>10</v>
      </c>
      <c r="G214" s="4" t="s">
        <v>19</v>
      </c>
      <c r="H214" s="4" t="s">
        <v>187</v>
      </c>
      <c r="I214" s="4"/>
      <c r="J214" s="4">
        <f>IF(MaxData[[#This Row],[Max COVID Status]]="Non",1,IF(MaxData[[#This Row],[Max COVID Status]]="Crisis",2,0))</f>
        <v>0</v>
      </c>
    </row>
    <row r="215" spans="1:10" hidden="1" x14ac:dyDescent="0.35">
      <c r="A215" s="4">
        <f>_xlfn.AGGREGATE(3,5,MaxData[[#This Row],[Facility]])</f>
        <v>0</v>
      </c>
      <c r="B215" s="4" t="s">
        <v>118</v>
      </c>
      <c r="C215" s="5" t="s">
        <v>135</v>
      </c>
      <c r="D215" s="5" t="s">
        <v>84</v>
      </c>
      <c r="E215" s="5" t="s">
        <v>19</v>
      </c>
      <c r="F215" s="4">
        <v>10</v>
      </c>
      <c r="G215" s="4" t="s">
        <v>19</v>
      </c>
      <c r="H215" s="4" t="s">
        <v>187</v>
      </c>
      <c r="I215" s="4"/>
      <c r="J215" s="4">
        <f>IF(MaxData[[#This Row],[Max COVID Status]]="Non",1,IF(MaxData[[#This Row],[Max COVID Status]]="Crisis",2,0))</f>
        <v>0</v>
      </c>
    </row>
    <row r="216" spans="1:10" hidden="1" x14ac:dyDescent="0.35">
      <c r="A216" s="4">
        <f>_xlfn.AGGREGATE(3,5,MaxData[[#This Row],[Facility]])</f>
        <v>0</v>
      </c>
      <c r="B216" s="4" t="s">
        <v>136</v>
      </c>
      <c r="C216" s="5" t="s">
        <v>137</v>
      </c>
      <c r="D216" s="5" t="s">
        <v>7</v>
      </c>
      <c r="E216" s="5" t="s">
        <v>19</v>
      </c>
      <c r="F216" s="4">
        <v>23</v>
      </c>
      <c r="G216" s="4" t="s">
        <v>19</v>
      </c>
      <c r="H216" s="4" t="s">
        <v>189</v>
      </c>
      <c r="I216" s="4"/>
      <c r="J216" s="4">
        <f>IF(MaxData[[#This Row],[Max COVID Status]]="Non",1,IF(MaxData[[#This Row],[Max COVID Status]]="Crisis",2,0))</f>
        <v>1</v>
      </c>
    </row>
    <row r="217" spans="1:10" hidden="1" x14ac:dyDescent="0.35">
      <c r="A217" s="4">
        <f>_xlfn.AGGREGATE(3,5,MaxData[[#This Row],[Facility]])</f>
        <v>0</v>
      </c>
      <c r="B217" s="4" t="s">
        <v>136</v>
      </c>
      <c r="C217" s="5" t="s">
        <v>138</v>
      </c>
      <c r="D217" s="5" t="s">
        <v>10</v>
      </c>
      <c r="E217" s="5" t="s">
        <v>19</v>
      </c>
      <c r="F217" s="4">
        <v>2</v>
      </c>
      <c r="G217" s="4" t="s">
        <v>19</v>
      </c>
      <c r="H217" s="4" t="s">
        <v>189</v>
      </c>
      <c r="I217" s="4"/>
      <c r="J217" s="4">
        <f>IF(MaxData[[#This Row],[Max COVID Status]]="Non",1,IF(MaxData[[#This Row],[Max COVID Status]]="Crisis",2,0))</f>
        <v>1</v>
      </c>
    </row>
    <row r="218" spans="1:10" hidden="1" x14ac:dyDescent="0.35">
      <c r="A218" s="4">
        <f>_xlfn.AGGREGATE(3,5,MaxData[[#This Row],[Facility]])</f>
        <v>0</v>
      </c>
      <c r="B218" s="4" t="s">
        <v>136</v>
      </c>
      <c r="C218" s="5" t="s">
        <v>139</v>
      </c>
      <c r="D218" s="5" t="s">
        <v>7</v>
      </c>
      <c r="E218" s="5" t="s">
        <v>19</v>
      </c>
      <c r="F218" s="4">
        <v>23</v>
      </c>
      <c r="G218" s="4" t="s">
        <v>19</v>
      </c>
      <c r="H218" s="4" t="s">
        <v>189</v>
      </c>
      <c r="I218" s="4"/>
      <c r="J218" s="4">
        <f>IF(MaxData[[#This Row],[Max COVID Status]]="Non",1,IF(MaxData[[#This Row],[Max COVID Status]]="Crisis",2,0))</f>
        <v>1</v>
      </c>
    </row>
    <row r="219" spans="1:10" hidden="1" x14ac:dyDescent="0.35">
      <c r="A219" s="4">
        <f>_xlfn.AGGREGATE(3,5,MaxData[[#This Row],[Facility]])</f>
        <v>0</v>
      </c>
      <c r="B219" s="4" t="s">
        <v>136</v>
      </c>
      <c r="C219" s="5" t="s">
        <v>140</v>
      </c>
      <c r="D219" s="5" t="s">
        <v>10</v>
      </c>
      <c r="E219" s="5" t="s">
        <v>19</v>
      </c>
      <c r="F219" s="4">
        <v>2</v>
      </c>
      <c r="G219" s="4" t="s">
        <v>19</v>
      </c>
      <c r="H219" s="4" t="s">
        <v>187</v>
      </c>
      <c r="I219" s="4"/>
      <c r="J219" s="4">
        <f>IF(MaxData[[#This Row],[Max COVID Status]]="Non",1,IF(MaxData[[#This Row],[Max COVID Status]]="Crisis",2,0))</f>
        <v>0</v>
      </c>
    </row>
    <row r="220" spans="1:10" hidden="1" x14ac:dyDescent="0.35">
      <c r="A220" s="4">
        <f>_xlfn.AGGREGATE(3,5,MaxData[[#This Row],[Facility]])</f>
        <v>0</v>
      </c>
      <c r="B220" s="4" t="s">
        <v>136</v>
      </c>
      <c r="C220" s="5" t="s">
        <v>141</v>
      </c>
      <c r="D220" s="5" t="s">
        <v>7</v>
      </c>
      <c r="E220" s="5" t="s">
        <v>19</v>
      </c>
      <c r="F220" s="4">
        <v>23</v>
      </c>
      <c r="G220" s="4" t="s">
        <v>19</v>
      </c>
      <c r="H220" s="4" t="s">
        <v>187</v>
      </c>
      <c r="I220" s="4"/>
      <c r="J220" s="4">
        <f>IF(MaxData[[#This Row],[Max COVID Status]]="Non",1,IF(MaxData[[#This Row],[Max COVID Status]]="Crisis",2,0))</f>
        <v>0</v>
      </c>
    </row>
    <row r="221" spans="1:10" hidden="1" x14ac:dyDescent="0.35">
      <c r="A221" s="4">
        <f>_xlfn.AGGREGATE(3,5,MaxData[[#This Row],[Facility]])</f>
        <v>0</v>
      </c>
      <c r="B221" s="4" t="s">
        <v>136</v>
      </c>
      <c r="C221" s="5" t="s">
        <v>142</v>
      </c>
      <c r="D221" s="5" t="s">
        <v>10</v>
      </c>
      <c r="E221" s="5" t="s">
        <v>19</v>
      </c>
      <c r="F221" s="4">
        <v>2</v>
      </c>
      <c r="G221" s="4" t="s">
        <v>19</v>
      </c>
      <c r="H221" s="4" t="s">
        <v>187</v>
      </c>
      <c r="I221" s="4"/>
      <c r="J221" s="4">
        <f>IF(MaxData[[#This Row],[Max COVID Status]]="Non",1,IF(MaxData[[#This Row],[Max COVID Status]]="Crisis",2,0))</f>
        <v>0</v>
      </c>
    </row>
    <row r="222" spans="1:10" hidden="1" x14ac:dyDescent="0.35">
      <c r="A222" s="4">
        <f>_xlfn.AGGREGATE(3,5,MaxData[[#This Row],[Facility]])</f>
        <v>0</v>
      </c>
      <c r="B222" s="4" t="s">
        <v>136</v>
      </c>
      <c r="C222" s="5" t="s">
        <v>143</v>
      </c>
      <c r="D222" s="5" t="s">
        <v>24</v>
      </c>
      <c r="E222" s="5" t="s">
        <v>19</v>
      </c>
      <c r="F222" s="4">
        <v>8</v>
      </c>
      <c r="G222" s="4" t="s">
        <v>188</v>
      </c>
      <c r="H222" s="4" t="s">
        <v>188</v>
      </c>
      <c r="I222" s="4"/>
      <c r="J222" s="4">
        <f>IF(MaxData[[#This Row],[Max COVID Status]]="Non",1,IF(MaxData[[#This Row],[Max COVID Status]]="Crisis",2,0))</f>
        <v>0</v>
      </c>
    </row>
    <row r="223" spans="1:10" hidden="1" x14ac:dyDescent="0.35">
      <c r="A223" s="4">
        <f>_xlfn.AGGREGATE(3,5,MaxData[[#This Row],[Facility]])</f>
        <v>0</v>
      </c>
      <c r="B223" s="4" t="s">
        <v>136</v>
      </c>
      <c r="C223" s="5" t="s">
        <v>144</v>
      </c>
      <c r="D223" s="5" t="s">
        <v>7</v>
      </c>
      <c r="E223" s="5" t="s">
        <v>19</v>
      </c>
      <c r="F223" s="4">
        <v>23</v>
      </c>
      <c r="G223" s="4" t="s">
        <v>19</v>
      </c>
      <c r="H223" s="4" t="s">
        <v>187</v>
      </c>
      <c r="I223" s="4"/>
      <c r="J223" s="4">
        <f>IF(MaxData[[#This Row],[Max COVID Status]]="Non",1,IF(MaxData[[#This Row],[Max COVID Status]]="Crisis",2,0))</f>
        <v>0</v>
      </c>
    </row>
    <row r="224" spans="1:10" hidden="1" x14ac:dyDescent="0.35">
      <c r="A224" s="4">
        <f>_xlfn.AGGREGATE(3,5,MaxData[[#This Row],[Facility]])</f>
        <v>0</v>
      </c>
      <c r="B224" s="4" t="s">
        <v>136</v>
      </c>
      <c r="C224" s="5" t="s">
        <v>145</v>
      </c>
      <c r="D224" s="5" t="s">
        <v>10</v>
      </c>
      <c r="E224" s="5" t="s">
        <v>19</v>
      </c>
      <c r="F224" s="4">
        <v>2</v>
      </c>
      <c r="G224" s="4" t="s">
        <v>19</v>
      </c>
      <c r="H224" s="4" t="s">
        <v>187</v>
      </c>
      <c r="I224" s="4"/>
      <c r="J224" s="4">
        <f>IF(MaxData[[#This Row],[Max COVID Status]]="Non",1,IF(MaxData[[#This Row],[Max COVID Status]]="Crisis",2,0))</f>
        <v>0</v>
      </c>
    </row>
    <row r="225" spans="1:10" hidden="1" x14ac:dyDescent="0.35">
      <c r="A225" s="4">
        <f>_xlfn.AGGREGATE(3,5,MaxData[[#This Row],[Facility]])</f>
        <v>0</v>
      </c>
      <c r="B225" s="4" t="s">
        <v>136</v>
      </c>
      <c r="C225" s="5" t="s">
        <v>144</v>
      </c>
      <c r="D225" s="5" t="s">
        <v>24</v>
      </c>
      <c r="E225" s="5" t="s">
        <v>19</v>
      </c>
      <c r="F225" s="4">
        <v>8</v>
      </c>
      <c r="G225" s="4" t="s">
        <v>188</v>
      </c>
      <c r="H225" s="4" t="s">
        <v>188</v>
      </c>
      <c r="I225" s="4"/>
      <c r="J225" s="4">
        <f>IF(MaxData[[#This Row],[Max COVID Status]]="Non",1,IF(MaxData[[#This Row],[Max COVID Status]]="Crisis",2,0))</f>
        <v>0</v>
      </c>
    </row>
    <row r="226" spans="1:10" hidden="1" x14ac:dyDescent="0.35">
      <c r="A226" s="4">
        <f>_xlfn.AGGREGATE(3,5,MaxData[[#This Row],[Facility]])</f>
        <v>0</v>
      </c>
      <c r="B226" s="4" t="s">
        <v>136</v>
      </c>
      <c r="C226" s="5" t="s">
        <v>146</v>
      </c>
      <c r="D226" s="5" t="s">
        <v>7</v>
      </c>
      <c r="E226" s="5" t="s">
        <v>19</v>
      </c>
      <c r="F226" s="4">
        <v>23</v>
      </c>
      <c r="G226" s="4" t="s">
        <v>19</v>
      </c>
      <c r="H226" s="4" t="s">
        <v>187</v>
      </c>
      <c r="I226" s="4"/>
      <c r="J226" s="4">
        <f>IF(MaxData[[#This Row],[Max COVID Status]]="Non",1,IF(MaxData[[#This Row],[Max COVID Status]]="Crisis",2,0))</f>
        <v>0</v>
      </c>
    </row>
    <row r="227" spans="1:10" hidden="1" x14ac:dyDescent="0.35">
      <c r="A227" s="4">
        <f>_xlfn.AGGREGATE(3,5,MaxData[[#This Row],[Facility]])</f>
        <v>0</v>
      </c>
      <c r="B227" s="4" t="s">
        <v>136</v>
      </c>
      <c r="C227" s="5" t="s">
        <v>147</v>
      </c>
      <c r="D227" s="5" t="s">
        <v>10</v>
      </c>
      <c r="E227" s="5" t="s">
        <v>19</v>
      </c>
      <c r="F227" s="4">
        <v>2</v>
      </c>
      <c r="G227" s="4" t="s">
        <v>19</v>
      </c>
      <c r="H227" s="4" t="s">
        <v>187</v>
      </c>
      <c r="I227" s="4"/>
      <c r="J227" s="4">
        <f>IF(MaxData[[#This Row],[Max COVID Status]]="Non",1,IF(MaxData[[#This Row],[Max COVID Status]]="Crisis",2,0))</f>
        <v>0</v>
      </c>
    </row>
    <row r="228" spans="1:10" hidden="1" x14ac:dyDescent="0.35">
      <c r="A228" s="4">
        <f>_xlfn.AGGREGATE(3,5,MaxData[[#This Row],[Facility]])</f>
        <v>0</v>
      </c>
      <c r="B228" s="4" t="s">
        <v>136</v>
      </c>
      <c r="C228" s="5" t="s">
        <v>148</v>
      </c>
      <c r="D228" s="5" t="s">
        <v>24</v>
      </c>
      <c r="E228" s="5" t="s">
        <v>19</v>
      </c>
      <c r="F228" s="4">
        <v>8</v>
      </c>
      <c r="G228" s="4" t="s">
        <v>188</v>
      </c>
      <c r="H228" s="4" t="s">
        <v>188</v>
      </c>
      <c r="I228" s="4"/>
      <c r="J228" s="4">
        <f>IF(MaxData[[#This Row],[Max COVID Status]]="Non",1,IF(MaxData[[#This Row],[Max COVID Status]]="Crisis",2,0))</f>
        <v>0</v>
      </c>
    </row>
    <row r="229" spans="1:10" ht="12.75" hidden="1" customHeight="1" x14ac:dyDescent="0.35">
      <c r="A229" s="4">
        <f>_xlfn.AGGREGATE(3,5,MaxData[[#This Row],[Facility]])</f>
        <v>0</v>
      </c>
      <c r="B229" s="4" t="s">
        <v>136</v>
      </c>
      <c r="C229" s="5" t="s">
        <v>149</v>
      </c>
      <c r="D229" s="5" t="s">
        <v>7</v>
      </c>
      <c r="E229" s="5" t="s">
        <v>19</v>
      </c>
      <c r="F229" s="4">
        <v>10</v>
      </c>
      <c r="G229" s="4" t="s">
        <v>23</v>
      </c>
      <c r="H229" s="4" t="s">
        <v>187</v>
      </c>
      <c r="I229" s="4"/>
      <c r="J229" s="4">
        <f>IF(MaxData[[#This Row],[Max COVID Status]]="Non",1,IF(MaxData[[#This Row],[Max COVID Status]]="Crisis",2,0))</f>
        <v>0</v>
      </c>
    </row>
    <row r="230" spans="1:10" hidden="1" x14ac:dyDescent="0.35">
      <c r="A230" s="4">
        <f>_xlfn.AGGREGATE(3,5,MaxData[[#This Row],[Facility]])</f>
        <v>0</v>
      </c>
      <c r="B230" s="4" t="s">
        <v>136</v>
      </c>
      <c r="C230" s="5" t="s">
        <v>150</v>
      </c>
      <c r="D230" s="5" t="s">
        <v>7</v>
      </c>
      <c r="E230" s="5" t="s">
        <v>19</v>
      </c>
      <c r="F230" s="4">
        <v>13</v>
      </c>
      <c r="G230" s="4" t="s">
        <v>19</v>
      </c>
      <c r="H230" s="4" t="s">
        <v>187</v>
      </c>
      <c r="I230" s="4"/>
      <c r="J230" s="4">
        <f>IF(MaxData[[#This Row],[Max COVID Status]]="Non",1,IF(MaxData[[#This Row],[Max COVID Status]]="Crisis",2,0))</f>
        <v>0</v>
      </c>
    </row>
    <row r="231" spans="1:10" hidden="1" x14ac:dyDescent="0.35">
      <c r="A231" s="4">
        <f>_xlfn.AGGREGATE(3,5,MaxData[[#This Row],[Facility]])</f>
        <v>0</v>
      </c>
      <c r="B231" s="4" t="s">
        <v>136</v>
      </c>
      <c r="C231" s="5" t="s">
        <v>151</v>
      </c>
      <c r="D231" s="5" t="s">
        <v>10</v>
      </c>
      <c r="E231" s="5" t="s">
        <v>19</v>
      </c>
      <c r="F231" s="4">
        <v>2</v>
      </c>
      <c r="G231" s="4" t="s">
        <v>19</v>
      </c>
      <c r="H231" s="4" t="s">
        <v>187</v>
      </c>
      <c r="I231" s="4"/>
      <c r="J231" s="4">
        <f>IF(MaxData[[#This Row],[Max COVID Status]]="Non",1,IF(MaxData[[#This Row],[Max COVID Status]]="Crisis",2,0))</f>
        <v>0</v>
      </c>
    </row>
    <row r="232" spans="1:10" hidden="1" x14ac:dyDescent="0.35">
      <c r="A232" s="4">
        <f>_xlfn.AGGREGATE(3,5,MaxData[[#This Row],[Facility]])</f>
        <v>0</v>
      </c>
      <c r="B232" s="4" t="s">
        <v>136</v>
      </c>
      <c r="C232" s="5" t="s">
        <v>150</v>
      </c>
      <c r="D232" s="5" t="s">
        <v>24</v>
      </c>
      <c r="E232" s="5" t="s">
        <v>19</v>
      </c>
      <c r="F232" s="4">
        <v>12</v>
      </c>
      <c r="G232" s="4" t="s">
        <v>19</v>
      </c>
      <c r="H232" s="4" t="s">
        <v>187</v>
      </c>
      <c r="I232" s="4"/>
      <c r="J232" s="4">
        <f>IF(MaxData[[#This Row],[Max COVID Status]]="Non",1,IF(MaxData[[#This Row],[Max COVID Status]]="Crisis",2,0))</f>
        <v>0</v>
      </c>
    </row>
    <row r="233" spans="1:10" hidden="1" x14ac:dyDescent="0.35">
      <c r="A233" s="4">
        <f>_xlfn.AGGREGATE(3,5,MaxData[[#This Row],[Facility]])</f>
        <v>0</v>
      </c>
      <c r="B233" s="4" t="s">
        <v>136</v>
      </c>
      <c r="C233" s="5" t="s">
        <v>23</v>
      </c>
      <c r="D233" s="5" t="s">
        <v>7</v>
      </c>
      <c r="E233" s="5" t="s">
        <v>23</v>
      </c>
      <c r="F233" s="4">
        <v>12</v>
      </c>
      <c r="G233" s="4" t="s">
        <v>23</v>
      </c>
      <c r="H233" s="4" t="s">
        <v>187</v>
      </c>
      <c r="I233" s="4"/>
      <c r="J233" s="4">
        <f>IF(MaxData[[#This Row],[Max COVID Status]]="Non",1,IF(MaxData[[#This Row],[Max COVID Status]]="Crisis",2,0))</f>
        <v>0</v>
      </c>
    </row>
    <row r="234" spans="1:10" hidden="1" x14ac:dyDescent="0.35">
      <c r="A234" s="4">
        <f>_xlfn.AGGREGATE(3,5,MaxData[[#This Row],[Facility]])</f>
        <v>0</v>
      </c>
      <c r="B234" s="4" t="s">
        <v>136</v>
      </c>
      <c r="C234" s="5" t="s">
        <v>152</v>
      </c>
      <c r="D234" s="5" t="s">
        <v>10</v>
      </c>
      <c r="E234" s="5" t="s">
        <v>23</v>
      </c>
      <c r="F234" s="4">
        <v>2</v>
      </c>
      <c r="G234" s="4" t="s">
        <v>23</v>
      </c>
      <c r="H234" s="4" t="s">
        <v>187</v>
      </c>
      <c r="I234" s="4"/>
      <c r="J234" s="4">
        <f>IF(MaxData[[#This Row],[Max COVID Status]]="Non",1,IF(MaxData[[#This Row],[Max COVID Status]]="Crisis",2,0))</f>
        <v>0</v>
      </c>
    </row>
    <row r="235" spans="1:10" hidden="1" x14ac:dyDescent="0.35">
      <c r="A235" s="4">
        <f>_xlfn.AGGREGATE(3,5,MaxData[[#This Row],[Facility]])</f>
        <v>0</v>
      </c>
      <c r="B235" s="4" t="s">
        <v>136</v>
      </c>
      <c r="C235" s="5" t="s">
        <v>153</v>
      </c>
      <c r="D235" s="5" t="s">
        <v>7</v>
      </c>
      <c r="E235" s="5" t="s">
        <v>19</v>
      </c>
      <c r="F235" s="4">
        <v>26</v>
      </c>
      <c r="G235" s="4" t="s">
        <v>19</v>
      </c>
      <c r="H235" s="4" t="s">
        <v>189</v>
      </c>
      <c r="I235" s="4"/>
      <c r="J235" s="4">
        <f>IF(MaxData[[#This Row],[Max COVID Status]]="Non",1,IF(MaxData[[#This Row],[Max COVID Status]]="Crisis",2,0))</f>
        <v>1</v>
      </c>
    </row>
    <row r="236" spans="1:10" hidden="1" x14ac:dyDescent="0.35">
      <c r="A236" s="4">
        <f>_xlfn.AGGREGATE(3,5,MaxData[[#This Row],[Facility]])</f>
        <v>0</v>
      </c>
      <c r="B236" s="4" t="s">
        <v>136</v>
      </c>
      <c r="C236" s="5" t="s">
        <v>154</v>
      </c>
      <c r="D236" s="5" t="s">
        <v>7</v>
      </c>
      <c r="E236" s="5" t="s">
        <v>19</v>
      </c>
      <c r="F236" s="4">
        <v>26</v>
      </c>
      <c r="G236" s="4" t="s">
        <v>19</v>
      </c>
      <c r="H236" s="4" t="s">
        <v>189</v>
      </c>
      <c r="I236" s="4"/>
      <c r="J236" s="4">
        <f>IF(MaxData[[#This Row],[Max COVID Status]]="Non",1,IF(MaxData[[#This Row],[Max COVID Status]]="Crisis",2,0))</f>
        <v>1</v>
      </c>
    </row>
    <row r="237" spans="1:10" hidden="1" x14ac:dyDescent="0.35">
      <c r="A237" s="4">
        <f>_xlfn.AGGREGATE(3,5,MaxData[[#This Row],[Facility]])</f>
        <v>0</v>
      </c>
      <c r="B237" s="4" t="s">
        <v>136</v>
      </c>
      <c r="C237" s="5" t="s">
        <v>155</v>
      </c>
      <c r="D237" s="5" t="s">
        <v>7</v>
      </c>
      <c r="E237" s="5" t="s">
        <v>19</v>
      </c>
      <c r="F237" s="4">
        <v>26</v>
      </c>
      <c r="G237" s="4" t="s">
        <v>19</v>
      </c>
      <c r="H237" s="4" t="s">
        <v>189</v>
      </c>
      <c r="I237" s="4"/>
      <c r="J237" s="4">
        <f>IF(MaxData[[#This Row],[Max COVID Status]]="Non",1,IF(MaxData[[#This Row],[Max COVID Status]]="Crisis",2,0))</f>
        <v>1</v>
      </c>
    </row>
    <row r="238" spans="1:10" hidden="1" x14ac:dyDescent="0.35">
      <c r="A238" s="4">
        <f>_xlfn.AGGREGATE(3,5,MaxData[[#This Row],[Facility]])</f>
        <v>0</v>
      </c>
      <c r="B238" s="4" t="s">
        <v>136</v>
      </c>
      <c r="C238" s="5" t="s">
        <v>156</v>
      </c>
      <c r="D238" s="5" t="s">
        <v>7</v>
      </c>
      <c r="E238" s="5" t="s">
        <v>19</v>
      </c>
      <c r="F238" s="4">
        <v>26</v>
      </c>
      <c r="G238" s="4" t="s">
        <v>19</v>
      </c>
      <c r="H238" s="4" t="s">
        <v>189</v>
      </c>
      <c r="I238" s="4"/>
      <c r="J238" s="4">
        <f>IF(MaxData[[#This Row],[Max COVID Status]]="Non",1,IF(MaxData[[#This Row],[Max COVID Status]]="Crisis",2,0))</f>
        <v>1</v>
      </c>
    </row>
    <row r="239" spans="1:10" hidden="1" x14ac:dyDescent="0.35">
      <c r="A239" s="4">
        <f>_xlfn.AGGREGATE(3,5,MaxData[[#This Row],[Facility]])</f>
        <v>0</v>
      </c>
      <c r="B239" s="4" t="s">
        <v>136</v>
      </c>
      <c r="C239" s="5" t="s">
        <v>157</v>
      </c>
      <c r="D239" s="5" t="s">
        <v>7</v>
      </c>
      <c r="E239" s="5" t="s">
        <v>19</v>
      </c>
      <c r="F239" s="4">
        <v>19</v>
      </c>
      <c r="G239" s="4" t="s">
        <v>19</v>
      </c>
      <c r="H239" s="4" t="s">
        <v>189</v>
      </c>
      <c r="I239" s="4"/>
      <c r="J239" s="4">
        <f>IF(MaxData[[#This Row],[Max COVID Status]]="Non",1,IF(MaxData[[#This Row],[Max COVID Status]]="Crisis",2,0))</f>
        <v>1</v>
      </c>
    </row>
    <row r="240" spans="1:10" hidden="1" x14ac:dyDescent="0.35">
      <c r="A240" s="4">
        <f>_xlfn.AGGREGATE(3,5,MaxData[[#This Row],[Facility]])</f>
        <v>0</v>
      </c>
      <c r="B240" s="4" t="s">
        <v>136</v>
      </c>
      <c r="C240" s="5" t="s">
        <v>158</v>
      </c>
      <c r="D240" s="5" t="s">
        <v>16</v>
      </c>
      <c r="E240" s="5" t="s">
        <v>13</v>
      </c>
      <c r="F240" s="4">
        <v>10</v>
      </c>
      <c r="G240" s="4" t="s">
        <v>188</v>
      </c>
      <c r="H240" s="4" t="s">
        <v>188</v>
      </c>
      <c r="I240" s="4"/>
      <c r="J240" s="4">
        <f>IF(MaxData[[#This Row],[Max COVID Status]]="Non",1,IF(MaxData[[#This Row],[Max COVID Status]]="Crisis",2,0))</f>
        <v>0</v>
      </c>
    </row>
    <row r="241" spans="1:10" hidden="1" x14ac:dyDescent="0.35">
      <c r="A241" s="4">
        <f>_xlfn.AGGREGATE(3,5,MaxData[[#This Row],[Facility]])</f>
        <v>0</v>
      </c>
      <c r="B241" s="4" t="s">
        <v>136</v>
      </c>
      <c r="C241" s="5" t="s">
        <v>159</v>
      </c>
      <c r="D241" s="5" t="s">
        <v>14</v>
      </c>
      <c r="E241" s="5" t="s">
        <v>13</v>
      </c>
      <c r="F241" s="4">
        <v>36</v>
      </c>
      <c r="G241" s="4" t="s">
        <v>188</v>
      </c>
      <c r="H241" s="4" t="s">
        <v>188</v>
      </c>
      <c r="I241" s="4"/>
      <c r="J241" s="4">
        <f>IF(MaxData[[#This Row],[Max COVID Status]]="Non",1,IF(MaxData[[#This Row],[Max COVID Status]]="Crisis",2,0))</f>
        <v>0</v>
      </c>
    </row>
    <row r="242" spans="1:10" hidden="1" x14ac:dyDescent="0.35">
      <c r="A242" s="4">
        <f>_xlfn.AGGREGATE(3,5,MaxData[[#This Row],[Facility]])</f>
        <v>0</v>
      </c>
      <c r="B242" s="4" t="s">
        <v>136</v>
      </c>
      <c r="C242" s="5" t="s">
        <v>160</v>
      </c>
      <c r="D242" s="5" t="s">
        <v>14</v>
      </c>
      <c r="E242" s="5" t="s">
        <v>13</v>
      </c>
      <c r="F242" s="4">
        <v>10</v>
      </c>
      <c r="G242" s="4" t="s">
        <v>188</v>
      </c>
      <c r="H242" s="4" t="s">
        <v>188</v>
      </c>
      <c r="I242" s="4"/>
      <c r="J242" s="4">
        <f>IF(MaxData[[#This Row],[Max COVID Status]]="Non",1,IF(MaxData[[#This Row],[Max COVID Status]]="Crisis",2,0))</f>
        <v>0</v>
      </c>
    </row>
    <row r="243" spans="1:10" hidden="1" x14ac:dyDescent="0.35">
      <c r="A243" s="4">
        <f>_xlfn.AGGREGATE(3,5,MaxData[[#This Row],[Facility]])</f>
        <v>0</v>
      </c>
      <c r="B243" s="4" t="s">
        <v>136</v>
      </c>
      <c r="C243" s="5" t="s">
        <v>161</v>
      </c>
      <c r="D243" s="5" t="s">
        <v>16</v>
      </c>
      <c r="E243" s="5" t="s">
        <v>13</v>
      </c>
      <c r="F243" s="4">
        <v>22</v>
      </c>
      <c r="G243" s="4" t="s">
        <v>188</v>
      </c>
      <c r="H243" s="4" t="s">
        <v>188</v>
      </c>
      <c r="I243" s="4"/>
      <c r="J243" s="4">
        <f>IF(MaxData[[#This Row],[Max COVID Status]]="Non",1,IF(MaxData[[#This Row],[Max COVID Status]]="Crisis",2,0))</f>
        <v>0</v>
      </c>
    </row>
    <row r="244" spans="1:10" hidden="1" x14ac:dyDescent="0.35">
      <c r="A244" s="4">
        <f>_xlfn.AGGREGATE(3,5,MaxData[[#This Row],[Facility]])</f>
        <v>0</v>
      </c>
      <c r="B244" s="4" t="s">
        <v>136</v>
      </c>
      <c r="C244" s="5" t="s">
        <v>162</v>
      </c>
      <c r="D244" s="5" t="s">
        <v>17</v>
      </c>
      <c r="E244" s="5" t="s">
        <v>13</v>
      </c>
      <c r="F244" s="4">
        <v>10</v>
      </c>
      <c r="G244" s="4" t="s">
        <v>188</v>
      </c>
      <c r="H244" s="4" t="s">
        <v>188</v>
      </c>
      <c r="I244" s="4"/>
      <c r="J244" s="4">
        <f>IF(MaxData[[#This Row],[Max COVID Status]]="Non",1,IF(MaxData[[#This Row],[Max COVID Status]]="Crisis",2,0))</f>
        <v>0</v>
      </c>
    </row>
    <row r="245" spans="1:10" hidden="1" x14ac:dyDescent="0.35">
      <c r="A245" s="4">
        <f>_xlfn.AGGREGATE(3,5,MaxData[[#This Row],[Facility]])</f>
        <v>0</v>
      </c>
      <c r="B245" s="4" t="s">
        <v>136</v>
      </c>
      <c r="C245" s="5" t="s">
        <v>163</v>
      </c>
      <c r="D245" s="5" t="s">
        <v>43</v>
      </c>
      <c r="E245" s="5" t="s">
        <v>19</v>
      </c>
      <c r="F245" s="4">
        <v>12</v>
      </c>
      <c r="G245" s="4" t="s">
        <v>188</v>
      </c>
      <c r="H245" s="4" t="s">
        <v>188</v>
      </c>
      <c r="I245" s="4"/>
      <c r="J245" s="4">
        <f>IF(MaxData[[#This Row],[Max COVID Status]]="Non",1,IF(MaxData[[#This Row],[Max COVID Status]]="Crisis",2,0))</f>
        <v>0</v>
      </c>
    </row>
    <row r="246" spans="1:10" x14ac:dyDescent="0.35">
      <c r="A246" s="4">
        <f>_xlfn.AGGREGATE(3,5,MaxData[[#This Row],[Facility]])</f>
        <v>1</v>
      </c>
      <c r="B246" s="4" t="s">
        <v>164</v>
      </c>
      <c r="C246" s="5" t="s">
        <v>165</v>
      </c>
      <c r="D246" s="5" t="s">
        <v>7</v>
      </c>
      <c r="E246" s="5" t="s">
        <v>19</v>
      </c>
      <c r="F246" s="4">
        <v>17</v>
      </c>
      <c r="G246" s="4" t="s">
        <v>19</v>
      </c>
      <c r="H246" s="4" t="s">
        <v>187</v>
      </c>
      <c r="I246" s="4">
        <v>-1</v>
      </c>
      <c r="J246" s="4">
        <f>IF(MaxData[[#This Row],[Max COVID Status]]="Non",1,IF(MaxData[[#This Row],[Max COVID Status]]="Crisis",2,0))</f>
        <v>0</v>
      </c>
    </row>
    <row r="247" spans="1:10" hidden="1" x14ac:dyDescent="0.35">
      <c r="A247" s="4">
        <f>_xlfn.AGGREGATE(3,5,MaxData[[#This Row],[Facility]])</f>
        <v>0</v>
      </c>
      <c r="B247" s="4" t="s">
        <v>164</v>
      </c>
      <c r="C247" s="5" t="s">
        <v>166</v>
      </c>
      <c r="D247" s="5" t="s">
        <v>7</v>
      </c>
      <c r="E247" s="5" t="s">
        <v>19</v>
      </c>
      <c r="F247" s="4">
        <v>17</v>
      </c>
      <c r="G247" s="4" t="s">
        <v>19</v>
      </c>
      <c r="H247" s="4" t="s">
        <v>189</v>
      </c>
      <c r="I247" s="4"/>
      <c r="J247" s="4">
        <f>IF(MaxData[[#This Row],[Max COVID Status]]="Non",1,IF(MaxData[[#This Row],[Max COVID Status]]="Crisis",2,0))</f>
        <v>1</v>
      </c>
    </row>
    <row r="248" spans="1:10" hidden="1" x14ac:dyDescent="0.35">
      <c r="A248" s="4">
        <f>_xlfn.AGGREGATE(3,5,MaxData[[#This Row],[Facility]])</f>
        <v>0</v>
      </c>
      <c r="B248" s="4" t="s">
        <v>164</v>
      </c>
      <c r="C248" s="5" t="s">
        <v>166</v>
      </c>
      <c r="D248" s="5" t="s">
        <v>10</v>
      </c>
      <c r="E248" s="5" t="s">
        <v>19</v>
      </c>
      <c r="F248" s="4">
        <v>1</v>
      </c>
      <c r="G248" s="4" t="s">
        <v>19</v>
      </c>
      <c r="H248" s="4" t="s">
        <v>189</v>
      </c>
      <c r="I248" s="4"/>
      <c r="J248" s="4">
        <f>IF(MaxData[[#This Row],[Max COVID Status]]="Non",1,IF(MaxData[[#This Row],[Max COVID Status]]="Crisis",2,0))</f>
        <v>1</v>
      </c>
    </row>
    <row r="249" spans="1:10" hidden="1" x14ac:dyDescent="0.35">
      <c r="A249" s="4">
        <f>_xlfn.AGGREGATE(3,5,MaxData[[#This Row],[Facility]])</f>
        <v>0</v>
      </c>
      <c r="B249" s="4" t="s">
        <v>164</v>
      </c>
      <c r="C249" s="5" t="s">
        <v>167</v>
      </c>
      <c r="D249" s="5" t="s">
        <v>7</v>
      </c>
      <c r="E249" s="5" t="s">
        <v>28</v>
      </c>
      <c r="F249" s="4">
        <v>17</v>
      </c>
      <c r="G249" s="4" t="s">
        <v>23</v>
      </c>
      <c r="H249" s="4" t="s">
        <v>187</v>
      </c>
      <c r="I249" s="4"/>
      <c r="J249" s="4">
        <f>IF(MaxData[[#This Row],[Max COVID Status]]="Non",1,IF(MaxData[[#This Row],[Max COVID Status]]="Crisis",2,0))</f>
        <v>0</v>
      </c>
    </row>
    <row r="250" spans="1:10" hidden="1" x14ac:dyDescent="0.35">
      <c r="A250" s="4">
        <f>_xlfn.AGGREGATE(3,5,MaxData[[#This Row],[Facility]])</f>
        <v>0</v>
      </c>
      <c r="B250" s="4" t="s">
        <v>164</v>
      </c>
      <c r="C250" s="5" t="s">
        <v>167</v>
      </c>
      <c r="D250" s="5" t="s">
        <v>10</v>
      </c>
      <c r="E250" s="5" t="s">
        <v>28</v>
      </c>
      <c r="F250" s="4">
        <v>1</v>
      </c>
      <c r="G250" s="4" t="s">
        <v>23</v>
      </c>
      <c r="H250" s="4" t="s">
        <v>187</v>
      </c>
      <c r="I250" s="4"/>
      <c r="J250" s="4">
        <f>IF(MaxData[[#This Row],[Max COVID Status]]="Non",1,IF(MaxData[[#This Row],[Max COVID Status]]="Crisis",2,0))</f>
        <v>0</v>
      </c>
    </row>
    <row r="251" spans="1:10" hidden="1" x14ac:dyDescent="0.35">
      <c r="A251" s="4">
        <f>_xlfn.AGGREGATE(3,5,MaxData[[#This Row],[Facility]])</f>
        <v>0</v>
      </c>
      <c r="B251" s="4" t="s">
        <v>164</v>
      </c>
      <c r="C251" s="5" t="s">
        <v>168</v>
      </c>
      <c r="D251" s="5" t="s">
        <v>7</v>
      </c>
      <c r="E251" s="5" t="s">
        <v>23</v>
      </c>
      <c r="F251" s="4">
        <v>10</v>
      </c>
      <c r="G251" s="4" t="s">
        <v>23</v>
      </c>
      <c r="H251" s="4" t="s">
        <v>187</v>
      </c>
      <c r="I251" s="4"/>
      <c r="J251" s="4">
        <f>IF(MaxData[[#This Row],[Max COVID Status]]="Non",1,IF(MaxData[[#This Row],[Max COVID Status]]="Crisis",2,0))</f>
        <v>0</v>
      </c>
    </row>
    <row r="252" spans="1:10" hidden="1" x14ac:dyDescent="0.35">
      <c r="A252" s="4">
        <f>_xlfn.AGGREGATE(3,5,MaxData[[#This Row],[Facility]])</f>
        <v>0</v>
      </c>
      <c r="B252" s="4" t="s">
        <v>164</v>
      </c>
      <c r="C252" s="5" t="s">
        <v>168</v>
      </c>
      <c r="D252" s="5" t="s">
        <v>10</v>
      </c>
      <c r="E252" s="5" t="s">
        <v>23</v>
      </c>
      <c r="F252" s="4">
        <v>2</v>
      </c>
      <c r="G252" s="4" t="s">
        <v>23</v>
      </c>
      <c r="H252" s="4" t="s">
        <v>187</v>
      </c>
      <c r="I252" s="4"/>
      <c r="J252" s="4">
        <f>IF(MaxData[[#This Row],[Max COVID Status]]="Non",1,IF(MaxData[[#This Row],[Max COVID Status]]="Crisis",2,0))</f>
        <v>0</v>
      </c>
    </row>
    <row r="253" spans="1:10" hidden="1" x14ac:dyDescent="0.35">
      <c r="A253" s="4">
        <f>_xlfn.AGGREGATE(3,5,MaxData[[#This Row],[Facility]])</f>
        <v>0</v>
      </c>
      <c r="B253" s="4" t="s">
        <v>164</v>
      </c>
      <c r="C253" s="5" t="s">
        <v>169</v>
      </c>
      <c r="D253" s="5" t="s">
        <v>7</v>
      </c>
      <c r="E253" s="5" t="s">
        <v>23</v>
      </c>
      <c r="F253" s="4">
        <v>10</v>
      </c>
      <c r="G253" s="4" t="s">
        <v>23</v>
      </c>
      <c r="H253" s="4" t="s">
        <v>189</v>
      </c>
      <c r="I253" s="4"/>
      <c r="J253" s="4">
        <f>IF(MaxData[[#This Row],[Max COVID Status]]="Non",1,IF(MaxData[[#This Row],[Max COVID Status]]="Crisis",2,0))</f>
        <v>1</v>
      </c>
    </row>
    <row r="254" spans="1:10" hidden="1" x14ac:dyDescent="0.35">
      <c r="A254" s="4">
        <f>_xlfn.AGGREGATE(3,5,MaxData[[#This Row],[Facility]])</f>
        <v>0</v>
      </c>
      <c r="B254" s="4" t="s">
        <v>164</v>
      </c>
      <c r="C254" s="5" t="s">
        <v>169</v>
      </c>
      <c r="D254" s="5" t="s">
        <v>10</v>
      </c>
      <c r="E254" s="5" t="s">
        <v>23</v>
      </c>
      <c r="F254" s="4">
        <v>2</v>
      </c>
      <c r="G254" s="4" t="s">
        <v>23</v>
      </c>
      <c r="H254" s="4" t="s">
        <v>189</v>
      </c>
      <c r="I254" s="4"/>
      <c r="J254" s="4">
        <f>IF(MaxData[[#This Row],[Max COVID Status]]="Non",1,IF(MaxData[[#This Row],[Max COVID Status]]="Crisis",2,0))</f>
        <v>1</v>
      </c>
    </row>
    <row r="255" spans="1:10" hidden="1" x14ac:dyDescent="0.35">
      <c r="A255" s="4">
        <f>_xlfn.AGGREGATE(3,5,MaxData[[#This Row],[Facility]])</f>
        <v>0</v>
      </c>
      <c r="B255" s="4" t="s">
        <v>164</v>
      </c>
      <c r="C255" s="5" t="s">
        <v>170</v>
      </c>
      <c r="D255" s="5" t="s">
        <v>7</v>
      </c>
      <c r="E255" s="5" t="s">
        <v>19</v>
      </c>
      <c r="F255" s="4">
        <v>21</v>
      </c>
      <c r="G255" s="4" t="s">
        <v>19</v>
      </c>
      <c r="H255" s="4" t="s">
        <v>189</v>
      </c>
      <c r="I255" s="4"/>
      <c r="J255" s="4">
        <f>IF(MaxData[[#This Row],[Max COVID Status]]="Non",1,IF(MaxData[[#This Row],[Max COVID Status]]="Crisis",2,0))</f>
        <v>1</v>
      </c>
    </row>
    <row r="256" spans="1:10" hidden="1" x14ac:dyDescent="0.35">
      <c r="A256" s="4">
        <f>_xlfn.AGGREGATE(3,5,MaxData[[#This Row],[Facility]])</f>
        <v>0</v>
      </c>
      <c r="B256" s="4" t="s">
        <v>164</v>
      </c>
      <c r="C256" s="5" t="s">
        <v>170</v>
      </c>
      <c r="D256" s="5" t="s">
        <v>10</v>
      </c>
      <c r="E256" s="5" t="s">
        <v>19</v>
      </c>
      <c r="F256" s="4">
        <v>3</v>
      </c>
      <c r="G256" s="4" t="s">
        <v>19</v>
      </c>
      <c r="H256" s="4" t="s">
        <v>189</v>
      </c>
      <c r="I256" s="4"/>
      <c r="J256" s="4">
        <f>IF(MaxData[[#This Row],[Max COVID Status]]="Non",1,IF(MaxData[[#This Row],[Max COVID Status]]="Crisis",2,0))</f>
        <v>1</v>
      </c>
    </row>
    <row r="257" spans="1:10" hidden="1" x14ac:dyDescent="0.35">
      <c r="A257" s="4">
        <f>_xlfn.AGGREGATE(3,5,MaxData[[#This Row],[Facility]])</f>
        <v>0</v>
      </c>
      <c r="B257" s="4" t="s">
        <v>164</v>
      </c>
      <c r="C257" s="5" t="s">
        <v>171</v>
      </c>
      <c r="D257" s="5" t="s">
        <v>7</v>
      </c>
      <c r="E257" s="5" t="s">
        <v>19</v>
      </c>
      <c r="F257" s="4">
        <v>10</v>
      </c>
      <c r="G257" s="4" t="s">
        <v>23</v>
      </c>
      <c r="H257" s="4" t="s">
        <v>187</v>
      </c>
      <c r="I257" s="4"/>
      <c r="J257" s="4">
        <f>IF(MaxData[[#This Row],[Max COVID Status]]="Non",1,IF(MaxData[[#This Row],[Max COVID Status]]="Crisis",2,0))</f>
        <v>0</v>
      </c>
    </row>
    <row r="258" spans="1:10" hidden="1" x14ac:dyDescent="0.35">
      <c r="A258" s="4">
        <f>_xlfn.AGGREGATE(3,5,MaxData[[#This Row],[Facility]])</f>
        <v>0</v>
      </c>
      <c r="B258" s="4" t="s">
        <v>164</v>
      </c>
      <c r="C258" s="5" t="s">
        <v>171</v>
      </c>
      <c r="D258" s="5" t="s">
        <v>10</v>
      </c>
      <c r="E258" s="5" t="s">
        <v>19</v>
      </c>
      <c r="F258" s="4">
        <v>2</v>
      </c>
      <c r="G258" s="4" t="s">
        <v>23</v>
      </c>
      <c r="H258" s="4" t="s">
        <v>187</v>
      </c>
      <c r="I258" s="4"/>
      <c r="J258" s="4">
        <f>IF(MaxData[[#This Row],[Max COVID Status]]="Non",1,IF(MaxData[[#This Row],[Max COVID Status]]="Crisis",2,0))</f>
        <v>0</v>
      </c>
    </row>
    <row r="259" spans="1:10" x14ac:dyDescent="0.35">
      <c r="A259" s="4">
        <f>_xlfn.AGGREGATE(3,5,MaxData[[#This Row],[Facility]])</f>
        <v>1</v>
      </c>
      <c r="B259" s="4" t="s">
        <v>164</v>
      </c>
      <c r="C259" s="5" t="s">
        <v>240</v>
      </c>
      <c r="D259" s="5" t="s">
        <v>7</v>
      </c>
      <c r="E259" s="5" t="s">
        <v>19</v>
      </c>
      <c r="F259" s="4">
        <v>8</v>
      </c>
      <c r="G259" s="4" t="s">
        <v>19</v>
      </c>
      <c r="H259" s="4" t="s">
        <v>187</v>
      </c>
      <c r="I259" s="4">
        <v>-1</v>
      </c>
      <c r="J259" s="4">
        <f>IF(MaxData[[#This Row],[Max COVID Status]]="Non",1,IF(MaxData[[#This Row],[Max COVID Status]]="Crisis",2,0))</f>
        <v>0</v>
      </c>
    </row>
    <row r="260" spans="1:10" x14ac:dyDescent="0.35">
      <c r="A260" s="4">
        <f>_xlfn.AGGREGATE(3,5,MaxData[[#This Row],[Facility]])</f>
        <v>1</v>
      </c>
      <c r="B260" s="4" t="s">
        <v>164</v>
      </c>
      <c r="C260" s="5" t="s">
        <v>172</v>
      </c>
      <c r="D260" s="5" t="s">
        <v>7</v>
      </c>
      <c r="E260" s="5" t="s">
        <v>19</v>
      </c>
      <c r="F260" s="4">
        <v>28</v>
      </c>
      <c r="G260" s="4" t="s">
        <v>19</v>
      </c>
      <c r="H260" s="4" t="s">
        <v>187</v>
      </c>
      <c r="I260" s="4"/>
      <c r="J260" s="4">
        <f>IF(MaxData[[#This Row],[Max COVID Status]]="Non",1,IF(MaxData[[#This Row],[Max COVID Status]]="Crisis",2,0))</f>
        <v>0</v>
      </c>
    </row>
    <row r="261" spans="1:10" x14ac:dyDescent="0.35">
      <c r="A261" s="4">
        <f>_xlfn.AGGREGATE(3,5,MaxData[[#This Row],[Facility]])</f>
        <v>1</v>
      </c>
      <c r="B261" s="4" t="s">
        <v>164</v>
      </c>
      <c r="C261" s="5" t="s">
        <v>172</v>
      </c>
      <c r="D261" s="5" t="s">
        <v>10</v>
      </c>
      <c r="E261" s="5" t="s">
        <v>19</v>
      </c>
      <c r="F261" s="4">
        <v>2</v>
      </c>
      <c r="G261" s="4" t="s">
        <v>19</v>
      </c>
      <c r="H261" s="4" t="s">
        <v>187</v>
      </c>
      <c r="I261" s="4"/>
      <c r="J261" s="4">
        <f>IF(MaxData[[#This Row],[Max COVID Status]]="Non",1,IF(MaxData[[#This Row],[Max COVID Status]]="Crisis",2,0))</f>
        <v>0</v>
      </c>
    </row>
    <row r="262" spans="1:10" hidden="1" x14ac:dyDescent="0.35">
      <c r="A262" s="4">
        <f>_xlfn.AGGREGATE(3,5,MaxData[[#This Row],[Facility]])</f>
        <v>0</v>
      </c>
      <c r="B262" s="4" t="s">
        <v>164</v>
      </c>
      <c r="C262" s="5" t="s">
        <v>173</v>
      </c>
      <c r="D262" s="5" t="s">
        <v>7</v>
      </c>
      <c r="E262" s="5" t="s">
        <v>19</v>
      </c>
      <c r="F262" s="4">
        <v>28</v>
      </c>
      <c r="G262" s="4" t="s">
        <v>19</v>
      </c>
      <c r="H262" s="4" t="s">
        <v>189</v>
      </c>
      <c r="I262" s="4"/>
      <c r="J262" s="4">
        <f>IF(MaxData[[#This Row],[Max COVID Status]]="Non",1,IF(MaxData[[#This Row],[Max COVID Status]]="Crisis",2,0))</f>
        <v>1</v>
      </c>
    </row>
    <row r="263" spans="1:10" hidden="1" x14ac:dyDescent="0.35">
      <c r="A263" s="4">
        <f>_xlfn.AGGREGATE(3,5,MaxData[[#This Row],[Facility]])</f>
        <v>0</v>
      </c>
      <c r="B263" s="4" t="s">
        <v>164</v>
      </c>
      <c r="C263" s="5" t="s">
        <v>173</v>
      </c>
      <c r="D263" s="5" t="s">
        <v>10</v>
      </c>
      <c r="E263" s="5" t="s">
        <v>19</v>
      </c>
      <c r="F263" s="4">
        <v>2</v>
      </c>
      <c r="G263" s="4" t="s">
        <v>19</v>
      </c>
      <c r="H263" s="4" t="s">
        <v>189</v>
      </c>
      <c r="I263" s="4"/>
      <c r="J263" s="4">
        <f>IF(MaxData[[#This Row],[Max COVID Status]]="Non",1,IF(MaxData[[#This Row],[Max COVID Status]]="Crisis",2,0))</f>
        <v>1</v>
      </c>
    </row>
    <row r="264" spans="1:10" x14ac:dyDescent="0.35">
      <c r="A264" s="4">
        <f>_xlfn.AGGREGATE(3,5,MaxData[[#This Row],[Facility]])</f>
        <v>1</v>
      </c>
      <c r="B264" s="4" t="s">
        <v>164</v>
      </c>
      <c r="C264" s="5" t="s">
        <v>174</v>
      </c>
      <c r="D264" s="5" t="s">
        <v>7</v>
      </c>
      <c r="E264" s="5" t="s">
        <v>19</v>
      </c>
      <c r="F264" s="4">
        <v>22</v>
      </c>
      <c r="G264" s="4" t="s">
        <v>19</v>
      </c>
      <c r="H264" s="4" t="s">
        <v>187</v>
      </c>
      <c r="I264" s="4"/>
      <c r="J264" s="4">
        <f>IF(MaxData[[#This Row],[Max COVID Status]]="Non",1,IF(MaxData[[#This Row],[Max COVID Status]]="Crisis",2,0))</f>
        <v>0</v>
      </c>
    </row>
    <row r="265" spans="1:10" hidden="1" x14ac:dyDescent="0.35">
      <c r="A265" s="4">
        <f>_xlfn.AGGREGATE(3,5,MaxData[[#This Row],[Facility]])</f>
        <v>0</v>
      </c>
      <c r="B265" s="4" t="s">
        <v>164</v>
      </c>
      <c r="C265" s="5" t="s">
        <v>157</v>
      </c>
      <c r="D265" s="5" t="s">
        <v>7</v>
      </c>
      <c r="E265" s="5" t="s">
        <v>19</v>
      </c>
      <c r="F265" s="4">
        <v>24</v>
      </c>
      <c r="G265" s="4" t="s">
        <v>19</v>
      </c>
      <c r="H265" s="4" t="s">
        <v>189</v>
      </c>
      <c r="I265" s="4"/>
      <c r="J265" s="4">
        <f>IF(MaxData[[#This Row],[Max COVID Status]]="Non",1,IF(MaxData[[#This Row],[Max COVID Status]]="Crisis",2,0))</f>
        <v>1</v>
      </c>
    </row>
    <row r="266" spans="1:10" x14ac:dyDescent="0.35">
      <c r="A266" s="4">
        <f>_xlfn.AGGREGATE(3,5,MaxData[[#This Row],[Facility]])</f>
        <v>1</v>
      </c>
      <c r="B266" s="4" t="s">
        <v>164</v>
      </c>
      <c r="C266" s="5" t="s">
        <v>175</v>
      </c>
      <c r="D266" s="5" t="s">
        <v>7</v>
      </c>
      <c r="E266" s="5" t="s">
        <v>19</v>
      </c>
      <c r="F266" s="4">
        <v>3</v>
      </c>
      <c r="G266" s="4" t="s">
        <v>19</v>
      </c>
      <c r="H266" s="4" t="s">
        <v>187</v>
      </c>
      <c r="I266" s="4"/>
      <c r="J266" s="4">
        <f>IF(MaxData[[#This Row],[Max COVID Status]]="Non",1,IF(MaxData[[#This Row],[Max COVID Status]]="Crisis",2,0))</f>
        <v>0</v>
      </c>
    </row>
    <row r="267" spans="1:10" hidden="1" x14ac:dyDescent="0.35">
      <c r="A267" s="4">
        <f>_xlfn.AGGREGATE(3,5,MaxData[[#This Row],[Facility]])</f>
        <v>0</v>
      </c>
      <c r="B267" s="4" t="s">
        <v>164</v>
      </c>
      <c r="C267" s="5" t="s">
        <v>176</v>
      </c>
      <c r="D267" s="5" t="s">
        <v>14</v>
      </c>
      <c r="E267" s="5" t="s">
        <v>13</v>
      </c>
      <c r="F267" s="4">
        <v>14</v>
      </c>
      <c r="G267" s="4" t="s">
        <v>23</v>
      </c>
      <c r="H267" s="4" t="s">
        <v>189</v>
      </c>
      <c r="I267" s="4"/>
      <c r="J267" s="4">
        <f>IF(MaxData[[#This Row],[Max COVID Status]]="Non",1,IF(MaxData[[#This Row],[Max COVID Status]]="Crisis",2,0))</f>
        <v>1</v>
      </c>
    </row>
    <row r="268" spans="1:10" hidden="1" x14ac:dyDescent="0.35">
      <c r="A268" s="4">
        <f>_xlfn.AGGREGATE(3,5,MaxData[[#This Row],[Facility]])</f>
        <v>0</v>
      </c>
      <c r="B268" s="4" t="s">
        <v>164</v>
      </c>
      <c r="C268" s="5" t="s">
        <v>176</v>
      </c>
      <c r="D268" s="5" t="s">
        <v>15</v>
      </c>
      <c r="E268" s="5" t="s">
        <v>13</v>
      </c>
      <c r="F268" s="4">
        <v>1</v>
      </c>
      <c r="G268" s="4" t="s">
        <v>23</v>
      </c>
      <c r="H268" s="4" t="s">
        <v>189</v>
      </c>
      <c r="I268" s="4"/>
      <c r="J268" s="4">
        <f>IF(MaxData[[#This Row],[Max COVID Status]]="Non",1,IF(MaxData[[#This Row],[Max COVID Status]]="Crisis",2,0))</f>
        <v>1</v>
      </c>
    </row>
    <row r="269" spans="1:10" hidden="1" x14ac:dyDescent="0.35">
      <c r="A269" s="4">
        <f>_xlfn.AGGREGATE(3,5,MaxData[[#This Row],[Facility]])</f>
        <v>0</v>
      </c>
      <c r="B269" s="4" t="s">
        <v>164</v>
      </c>
      <c r="C269" s="5" t="s">
        <v>177</v>
      </c>
      <c r="D269" s="5" t="s">
        <v>17</v>
      </c>
      <c r="E269" s="5" t="s">
        <v>13</v>
      </c>
      <c r="F269" s="4">
        <v>20</v>
      </c>
      <c r="G269" s="4" t="s">
        <v>23</v>
      </c>
      <c r="H269" s="4" t="s">
        <v>189</v>
      </c>
      <c r="I269" s="4"/>
      <c r="J269" s="4">
        <f>IF(MaxData[[#This Row],[Max COVID Status]]="Non",1,IF(MaxData[[#This Row],[Max COVID Status]]="Crisis",2,0))</f>
        <v>1</v>
      </c>
    </row>
    <row r="270" spans="1:10" hidden="1" x14ac:dyDescent="0.35">
      <c r="A270" s="4">
        <f>_xlfn.AGGREGATE(3,5,MaxData[[#This Row],[Facility]])</f>
        <v>0</v>
      </c>
      <c r="B270" s="4" t="s">
        <v>164</v>
      </c>
      <c r="C270" s="5" t="s">
        <v>177</v>
      </c>
      <c r="D270" s="5" t="s">
        <v>15</v>
      </c>
      <c r="E270" s="5" t="s">
        <v>13</v>
      </c>
      <c r="F270" s="4">
        <v>2</v>
      </c>
      <c r="G270" s="4" t="s">
        <v>23</v>
      </c>
      <c r="H270" s="4" t="s">
        <v>189</v>
      </c>
      <c r="I270" s="4"/>
      <c r="J270" s="4">
        <f>IF(MaxData[[#This Row],[Max COVID Status]]="Non",1,IF(MaxData[[#This Row],[Max COVID Status]]="Crisis",2,0))</f>
        <v>1</v>
      </c>
    </row>
    <row r="271" spans="1:10" hidden="1" x14ac:dyDescent="0.35">
      <c r="A271" s="4">
        <f>_xlfn.AGGREGATE(3,5,MaxData[[#This Row],[Facility]])</f>
        <v>0</v>
      </c>
      <c r="B271" s="4" t="s">
        <v>164</v>
      </c>
      <c r="C271" s="5" t="s">
        <v>178</v>
      </c>
      <c r="D271" s="5" t="s">
        <v>14</v>
      </c>
      <c r="E271" s="5" t="s">
        <v>13</v>
      </c>
      <c r="F271" s="4">
        <v>8</v>
      </c>
      <c r="G271" s="4" t="s">
        <v>23</v>
      </c>
      <c r="H271" s="4" t="s">
        <v>189</v>
      </c>
      <c r="I271" s="4"/>
      <c r="J271" s="4">
        <f>IF(MaxData[[#This Row],[Max COVID Status]]="Non",1,IF(MaxData[[#This Row],[Max COVID Status]]="Crisis",2,0))</f>
        <v>1</v>
      </c>
    </row>
    <row r="272" spans="1:10" hidden="1" x14ac:dyDescent="0.35">
      <c r="A272" s="4">
        <f>_xlfn.AGGREGATE(3,5,MaxData[[#This Row],[Facility]])</f>
        <v>0</v>
      </c>
      <c r="B272" s="4" t="s">
        <v>164</v>
      </c>
      <c r="C272" s="5" t="s">
        <v>179</v>
      </c>
      <c r="D272" s="5" t="s">
        <v>14</v>
      </c>
      <c r="E272" s="5" t="s">
        <v>13</v>
      </c>
      <c r="F272" s="4">
        <v>8</v>
      </c>
      <c r="G272" s="4" t="s">
        <v>188</v>
      </c>
      <c r="H272" s="4" t="s">
        <v>188</v>
      </c>
      <c r="I272" s="4"/>
      <c r="J272" s="4">
        <f>IF(MaxData[[#This Row],[Max COVID Status]]="Non",1,IF(MaxData[[#This Row],[Max COVID Status]]="Crisis",2,0))</f>
        <v>0</v>
      </c>
    </row>
    <row r="273" spans="1:10" x14ac:dyDescent="0.35">
      <c r="A273" s="4">
        <f>_xlfn.AGGREGATE(3,5,MaxData[[#This Row],[Facility]])</f>
        <v>1</v>
      </c>
      <c r="B273" s="4" t="s">
        <v>164</v>
      </c>
      <c r="C273" s="5" t="s">
        <v>180</v>
      </c>
      <c r="D273" s="5" t="s">
        <v>7</v>
      </c>
      <c r="E273" s="5" t="s">
        <v>83</v>
      </c>
      <c r="F273" s="4">
        <v>16</v>
      </c>
      <c r="G273" s="4" t="s">
        <v>19</v>
      </c>
      <c r="H273" s="4" t="s">
        <v>187</v>
      </c>
      <c r="I273" s="4"/>
      <c r="J273" s="4">
        <f>IF(MaxData[[#This Row],[Max COVID Status]]="Non",1,IF(MaxData[[#This Row],[Max COVID Status]]="Crisis",2,0))</f>
        <v>0</v>
      </c>
    </row>
    <row r="274" spans="1:10" x14ac:dyDescent="0.35">
      <c r="A274" s="4">
        <f>_xlfn.AGGREGATE(3,5,MaxData[[#This Row],[Facility]])</f>
        <v>1</v>
      </c>
      <c r="B274" s="4" t="s">
        <v>164</v>
      </c>
      <c r="C274" s="5" t="s">
        <v>181</v>
      </c>
      <c r="D274" s="5" t="s">
        <v>7</v>
      </c>
      <c r="E274" s="5" t="s">
        <v>83</v>
      </c>
      <c r="F274" s="4">
        <v>18</v>
      </c>
      <c r="G274" s="4" t="s">
        <v>19</v>
      </c>
      <c r="H274" s="4" t="s">
        <v>187</v>
      </c>
      <c r="I274" s="4">
        <v>-1</v>
      </c>
      <c r="J274" s="4">
        <f>IF(MaxData[[#This Row],[Max COVID Status]]="Non",1,IF(MaxData[[#This Row],[Max COVID Status]]="Crisis",2,0))</f>
        <v>0</v>
      </c>
    </row>
    <row r="275" spans="1:10" x14ac:dyDescent="0.35">
      <c r="A275" s="4">
        <f>_xlfn.AGGREGATE(3,5,MaxData[[#This Row],[Facility]])</f>
        <v>1</v>
      </c>
      <c r="B275" s="4" t="s">
        <v>164</v>
      </c>
      <c r="C275" s="5" t="s">
        <v>182</v>
      </c>
      <c r="D275" s="5" t="s">
        <v>7</v>
      </c>
      <c r="E275" s="5" t="s">
        <v>83</v>
      </c>
      <c r="F275" s="4">
        <v>16</v>
      </c>
      <c r="G275" s="4" t="s">
        <v>19</v>
      </c>
      <c r="H275" s="4" t="s">
        <v>187</v>
      </c>
      <c r="I275" s="4"/>
      <c r="J275" s="4">
        <f>IF(MaxData[[#This Row],[Max COVID Status]]="Non",1,IF(MaxData[[#This Row],[Max COVID Status]]="Crisis",2,0))</f>
        <v>0</v>
      </c>
    </row>
    <row r="276" spans="1:10" hidden="1" x14ac:dyDescent="0.35">
      <c r="A276" s="4">
        <f>_xlfn.AGGREGATE(3,5,MaxData[[#This Row],[Facility]])</f>
        <v>0</v>
      </c>
      <c r="B276" s="4" t="s">
        <v>164</v>
      </c>
      <c r="C276" s="5" t="s">
        <v>183</v>
      </c>
      <c r="D276" s="5" t="s">
        <v>7</v>
      </c>
      <c r="E276" s="5" t="s">
        <v>83</v>
      </c>
      <c r="F276" s="4">
        <v>16</v>
      </c>
      <c r="G276" s="4" t="s">
        <v>188</v>
      </c>
      <c r="H276" s="4" t="s">
        <v>188</v>
      </c>
      <c r="I276" s="4"/>
      <c r="J276" s="4">
        <f>IF(MaxData[[#This Row],[Max COVID Status]]="Non",1,IF(MaxData[[#This Row],[Max COVID Status]]="Crisis",2,0))</f>
        <v>0</v>
      </c>
    </row>
    <row r="277" spans="1:10" hidden="1" x14ac:dyDescent="0.35">
      <c r="A277" s="4">
        <f>_xlfn.AGGREGATE(3,5,MaxData[[#This Row],[Facility]])</f>
        <v>0</v>
      </c>
      <c r="B277" s="4" t="s">
        <v>164</v>
      </c>
      <c r="C277" s="5" t="s">
        <v>184</v>
      </c>
      <c r="D277" s="5" t="s">
        <v>17</v>
      </c>
      <c r="E277" s="5" t="s">
        <v>13</v>
      </c>
      <c r="F277" s="4">
        <v>15</v>
      </c>
      <c r="G277" s="4" t="s">
        <v>23</v>
      </c>
      <c r="H277" s="4" t="s">
        <v>189</v>
      </c>
      <c r="I277" s="4"/>
      <c r="J277" s="4">
        <f>IF(MaxData[[#This Row],[Max COVID Status]]="Non",1,IF(MaxData[[#This Row],[Max COVID Status]]="Crisis",2,0))</f>
        <v>1</v>
      </c>
    </row>
    <row r="278" spans="1:10" hidden="1" x14ac:dyDescent="0.35">
      <c r="A278" s="4">
        <f>_xlfn.AGGREGATE(3,5,MaxData[[#This Row],[Facility]])</f>
        <v>0</v>
      </c>
      <c r="B278" s="4" t="s">
        <v>164</v>
      </c>
      <c r="C278" s="5" t="s">
        <v>184</v>
      </c>
      <c r="D278" s="5" t="s">
        <v>15</v>
      </c>
      <c r="E278" s="5" t="s">
        <v>13</v>
      </c>
      <c r="F278" s="4">
        <v>1</v>
      </c>
      <c r="G278" s="4" t="s">
        <v>23</v>
      </c>
      <c r="H278" s="4" t="s">
        <v>189</v>
      </c>
      <c r="I278" s="4"/>
      <c r="J278" s="4">
        <f>IF(MaxData[[#This Row],[Max COVID Status]]="Non",1,IF(MaxData[[#This Row],[Max COVID Status]]="Crisis",2,0))</f>
        <v>1</v>
      </c>
    </row>
    <row r="279" spans="1:10" hidden="1" x14ac:dyDescent="0.35">
      <c r="A279" s="4">
        <f>_xlfn.AGGREGATE(3,5,MaxData[[#This Row],[Facility]])</f>
        <v>0</v>
      </c>
      <c r="B279" s="4" t="s">
        <v>164</v>
      </c>
      <c r="C279" s="5" t="s">
        <v>185</v>
      </c>
      <c r="D279" s="5" t="s">
        <v>17</v>
      </c>
      <c r="E279" s="5" t="s">
        <v>13</v>
      </c>
      <c r="F279" s="4">
        <v>11</v>
      </c>
      <c r="G279" s="4" t="s">
        <v>23</v>
      </c>
      <c r="H279" s="4" t="s">
        <v>189</v>
      </c>
      <c r="I279" s="4"/>
      <c r="J279" s="4">
        <f>IF(MaxData[[#This Row],[Max COVID Status]]="Non",1,IF(MaxData[[#This Row],[Max COVID Status]]="Crisis",2,0))</f>
        <v>1</v>
      </c>
    </row>
    <row r="280" spans="1:10" hidden="1" x14ac:dyDescent="0.35">
      <c r="A280" s="4">
        <f>_xlfn.AGGREGATE(3,5,MaxData[[#This Row],[Facility]])</f>
        <v>0</v>
      </c>
      <c r="B280" s="4" t="s">
        <v>164</v>
      </c>
      <c r="C280" s="5" t="s">
        <v>185</v>
      </c>
      <c r="D280" s="5" t="s">
        <v>15</v>
      </c>
      <c r="E280" s="5" t="s">
        <v>13</v>
      </c>
      <c r="F280" s="4">
        <v>1</v>
      </c>
      <c r="G280" s="4" t="s">
        <v>23</v>
      </c>
      <c r="H280" s="4" t="s">
        <v>189</v>
      </c>
      <c r="I280" s="4"/>
      <c r="J280" s="4">
        <f>IF(MaxData[[#This Row],[Max COVID Status]]="Non",1,IF(MaxData[[#This Row],[Max COVID Status]]="Crisis",2,0))</f>
        <v>1</v>
      </c>
    </row>
    <row r="281" spans="1:10" hidden="1" x14ac:dyDescent="0.35">
      <c r="A281" s="4">
        <f>_xlfn.AGGREGATE(3,5,MaxData[[#This Row],[Facility]])</f>
        <v>0</v>
      </c>
      <c r="B281" s="4" t="s">
        <v>164</v>
      </c>
      <c r="C281" s="5" t="s">
        <v>117</v>
      </c>
      <c r="D281" s="5" t="s">
        <v>84</v>
      </c>
      <c r="E281" s="5" t="s">
        <v>19</v>
      </c>
      <c r="F281" s="4">
        <v>10</v>
      </c>
      <c r="G281" s="4" t="s">
        <v>19</v>
      </c>
      <c r="H281" s="4" t="s">
        <v>189</v>
      </c>
      <c r="I281" s="4"/>
      <c r="J281" s="4">
        <f>IF(MaxData[[#This Row],[Max COVID Status]]="Non",1,IF(MaxData[[#This Row],[Max COVID Status]]="Crisis",2,0))</f>
        <v>1</v>
      </c>
    </row>
    <row r="282" spans="1:10" x14ac:dyDescent="0.35">
      <c r="A282" s="40" t="s">
        <v>202</v>
      </c>
      <c r="B282" s="41"/>
      <c r="C282" s="42"/>
      <c r="D282" s="42"/>
      <c r="E282" s="42"/>
      <c r="F282" s="43">
        <f>SUBTOTAL(109,MaxData[Beds])</f>
        <v>130</v>
      </c>
      <c r="G282" s="43"/>
      <c r="H282" s="43"/>
      <c r="I282" s="43">
        <f>MaxData[[#Totals],[Beds]]+SUBTOTAL(109,MaxData[Max Bed Adjust])</f>
        <v>127</v>
      </c>
      <c r="J282" s="41"/>
    </row>
  </sheetData>
  <sheetProtection insertRows="0" autoFilter="0"/>
  <protectedRanges>
    <protectedRange algorithmName="SHA-512" hashValue="8jzfTV441avlKGOxIdhnWzPm+/lvD8Hm2bga9HeirfLcT1Rv2PZT6aXvVa71Yggj1iXzxsrCqlHcrGjBduigLA==" saltValue="+6QGc5Ah0nmHBOD3Y9VySw==" spinCount="100000" sqref="A6:I281" name="MaxIn"/>
  </protectedRanges>
  <dataValidations count="2">
    <dataValidation type="list" allowBlank="1" showInputMessage="1" showErrorMessage="1" sqref="H6:H281" xr:uid="{00000000-0002-0000-0400-000000000000}">
      <formula1>"COVID,Non,Crisis,Available"</formula1>
    </dataValidation>
    <dataValidation type="list" allowBlank="1" showInputMessage="1" showErrorMessage="1" sqref="G6:G281" xr:uid="{00000000-0002-0000-0400-000001000000}">
      <formula1>"ICU,Acute,Available,Psych,NICU,Rehab,Nursery"</formula1>
    </dataValidation>
  </dataValidation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7D7DB5CA06014BB7EC2B0C5CC46824" ma:contentTypeVersion="4" ma:contentTypeDescription="Create a new document." ma:contentTypeScope="" ma:versionID="eeba823a86d570869f53b3375e00b2c8">
  <xsd:schema xmlns:xsd="http://www.w3.org/2001/XMLSchema" xmlns:xs="http://www.w3.org/2001/XMLSchema" xmlns:p="http://schemas.microsoft.com/office/2006/metadata/properties" xmlns:ns2="3465c8ee-6f55-44a4-b7d5-7548cd51e4b7" targetNamespace="http://schemas.microsoft.com/office/2006/metadata/properties" ma:root="true" ma:fieldsID="c68ca20512170ee81a3fdc2d606114d7" ns2:_="">
    <xsd:import namespace="3465c8ee-6f55-44a4-b7d5-7548cd51e4b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65c8ee-6f55-44a4-b7d5-7548cd51e4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BAC8A8-A952-4505-85FA-203BEE5BFC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65c8ee-6f55-44a4-b7d5-7548cd51e4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FC1DDE1-E883-427A-B333-4586E5CB95E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B2CD33D-3B08-4238-B7B8-C661ECCA004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Summary</vt:lpstr>
      <vt:lpstr>Planner</vt:lpstr>
      <vt:lpstr>Chart</vt:lpstr>
      <vt:lpstr>Labels</vt:lpstr>
      <vt:lpstr>Max</vt:lpstr>
      <vt:lpstr>F2Out</vt:lpstr>
      <vt:lpstr>FOut</vt:lpstr>
      <vt:lpstr>Summary!Print_Titles</vt:lpstr>
    </vt:vector>
  </TitlesOfParts>
  <Company>Johns Hopkins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Stafford</dc:creator>
  <cp:lastModifiedBy>Kimia Ghobadi</cp:lastModifiedBy>
  <dcterms:created xsi:type="dcterms:W3CDTF">2020-03-02T19:19:37Z</dcterms:created>
  <dcterms:modified xsi:type="dcterms:W3CDTF">2020-12-02T20:30:09Z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0x010100797D7DB5CA06014BB7EC2B0C5CC46824</vt:lpwstr>
  </property>
</Properties>
</file>